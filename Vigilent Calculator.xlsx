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gilent Sweet Spots Calculator" sheetId="1" r:id="rId5"/>
    <sheet state="visible" name="Examples" sheetId="2" r:id="rId6"/>
    <sheet state="visible" name="Sheet2" sheetId="3" r:id="rId7"/>
    <sheet state="visible" name="Sheet3" sheetId="4" r:id="rId8"/>
    <sheet state="visible" name="Vigilent Savings Calculator" sheetId="5" r:id="rId9"/>
    <sheet state="visible" name="Vigilent Savings Calculator v1 " sheetId="6" r:id="rId10"/>
  </sheets>
  <definedNames/>
  <calcPr/>
</workbook>
</file>

<file path=xl/sharedStrings.xml><?xml version="1.0" encoding="utf-8"?>
<sst xmlns="http://schemas.openxmlformats.org/spreadsheetml/2006/main" count="195" uniqueCount="38">
  <si>
    <t>Target Data Center Input</t>
  </si>
  <si>
    <t>Value</t>
  </si>
  <si>
    <t>Data Center Size (MW)</t>
  </si>
  <si>
    <t>Baseline PUE (Ratio)</t>
  </si>
  <si>
    <t>Total Electricity Usage (MW)</t>
  </si>
  <si>
    <t>Electricity Price ($/kWh)</t>
  </si>
  <si>
    <t>Annual IT Load Growth Rate (%)</t>
  </si>
  <si>
    <t>Annual Site Water Usage (L)</t>
  </si>
  <si>
    <t>Water Cost per Liter ($)</t>
  </si>
  <si>
    <t>Energy % of Operational Expenditure (OPEX) (%)</t>
  </si>
  <si>
    <t>Vigilent Parameters Input</t>
  </si>
  <si>
    <t>Number of Years (int)</t>
  </si>
  <si>
    <t>Vigilent Investment Cost ($)</t>
  </si>
  <si>
    <t>Estimated Energy Reduction w/ Vigilent (%)</t>
  </si>
  <si>
    <t>Estimated Water Reduction w/ Vigilent (%)</t>
  </si>
  <si>
    <t>Output:</t>
  </si>
  <si>
    <t>Percentage</t>
  </si>
  <si>
    <t>Annual energy consumption (kWh)</t>
  </si>
  <si>
    <t>Annual energy cost ($)</t>
  </si>
  <si>
    <t>Projected cost growth under load expansion ($) (%)</t>
  </si>
  <si>
    <t>Estimated savings w/ energy reduction ($) (%)</t>
  </si>
  <si>
    <t>% impact on total operating costs (%)</t>
  </si>
  <si>
    <t>Factor</t>
  </si>
  <si>
    <t>Min Threshold</t>
  </si>
  <si>
    <t>Max Threshold</t>
  </si>
  <si>
    <t>Composite Score</t>
  </si>
  <si>
    <t>Weight</t>
  </si>
  <si>
    <t>$ savings per MW</t>
  </si>
  <si>
    <t>% savings of Water Usage</t>
  </si>
  <si>
    <t>Payback period</t>
  </si>
  <si>
    <t>Load Growth (Pressure)</t>
  </si>
  <si>
    <t>Total Score (out of 100)</t>
  </si>
  <si>
    <t>Elec Price</t>
  </si>
  <si>
    <t>Data Center Size</t>
  </si>
  <si>
    <t>Total Score (out of 500)</t>
  </si>
  <si>
    <t>% impact on total operating costs</t>
  </si>
  <si>
    <t>Note that min and max thresholds are inverted!</t>
  </si>
  <si>
    <t>Total Score (0–100)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</si>
</sst>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Source Sans 3"/>
    </font>
    <font>
      <color theme="1"/>
      <name val="Source Sans 3"/>
    </font>
    <font>
      <color rgb="FF000000"/>
      <name val="Source Sans 3"/>
    </font>
    <font>
      <color theme="0"/>
      <name val="Source Sans 3"/>
    </font>
    <font>
      <color theme="1"/>
      <name val="Arial"/>
      <scheme val="minor"/>
    </font>
    <font>
      <color rgb="FFFFFFFF"/>
      <name val="Arial"/>
      <scheme val="minor"/>
    </font>
    <font>
      <color rgb="FFFFFFFF"/>
      <name val="&quot;Source Sans 3&quot;"/>
    </font>
    <font>
      <color rgb="FF000000"/>
      <name val="&quot;Source Sans 3&quot;"/>
    </font>
    <font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075E8"/>
        <bgColor rgb="FF1075E8"/>
      </patternFill>
    </fill>
    <fill>
      <patternFill patternType="solid">
        <fgColor rgb="FFD7DEF8"/>
        <bgColor rgb="FFD7DEF8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2" numFmtId="9" xfId="0" applyAlignment="1" applyBorder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1" fillId="4" fontId="4" numFmtId="0" xfId="0" applyAlignment="1" applyBorder="1" applyFill="1" applyFont="1">
      <alignment readingOrder="0"/>
    </xf>
    <xf borderId="1" fillId="0" fontId="2" numFmtId="10" xfId="0" applyAlignment="1" applyBorder="1" applyFont="1" applyNumberFormat="1">
      <alignment readingOrder="0"/>
    </xf>
    <xf borderId="1" fillId="4" fontId="1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1" fillId="5" fontId="1" numFmtId="0" xfId="0" applyAlignment="1" applyBorder="1" applyFill="1" applyFont="1">
      <alignment readingOrder="0" shrinkToFit="0" vertical="bottom" wrapText="0"/>
    </xf>
    <xf borderId="1" fillId="0" fontId="2" numFmtId="4" xfId="0" applyBorder="1" applyFont="1" applyNumberFormat="1"/>
    <xf borderId="1" fillId="0" fontId="3" numFmtId="0" xfId="0" applyAlignment="1" applyBorder="1" applyFont="1">
      <alignment horizontal="right" readingOrder="0" shrinkToFit="0" vertical="bottom" wrapText="0"/>
    </xf>
    <xf borderId="1" fillId="0" fontId="2" numFmtId="4" xfId="0" applyAlignment="1" applyBorder="1" applyFont="1" applyNumberFormat="1">
      <alignment readingOrder="0"/>
    </xf>
    <xf borderId="1" fillId="0" fontId="3" numFmtId="9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1" fillId="2" fontId="1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0" fillId="0" fontId="3" numFmtId="10" xfId="0" applyAlignment="1" applyFont="1" applyNumberFormat="1">
      <alignment shrinkToFit="0" vertical="bottom" wrapText="0"/>
    </xf>
    <xf borderId="1" fillId="0" fontId="3" numFmtId="10" xfId="0" applyAlignment="1" applyBorder="1" applyFont="1" applyNumberFormat="1">
      <alignment horizontal="right" readingOrder="0"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0" fontId="3" numFmtId="4" xfId="0" applyAlignment="1" applyBorder="1" applyFont="1" applyNumberFormat="1">
      <alignment horizontal="right" readingOrder="0" shrinkToFit="0" vertical="bottom" wrapText="0"/>
    </xf>
    <xf borderId="1" fillId="4" fontId="6" numFmtId="0" xfId="0" applyAlignment="1" applyBorder="1" applyFont="1">
      <alignment readingOrder="0"/>
    </xf>
    <xf borderId="1" fillId="0" fontId="5" numFmtId="0" xfId="0" applyBorder="1" applyFont="1"/>
    <xf borderId="1" fillId="0" fontId="5" numFmtId="4" xfId="0" applyBorder="1" applyFont="1" applyNumberFormat="1"/>
    <xf borderId="1" fillId="0" fontId="5" numFmtId="0" xfId="0" applyAlignment="1" applyBorder="1" applyFont="1">
      <alignment readingOrder="0"/>
    </xf>
    <xf borderId="1" fillId="0" fontId="5" numFmtId="4" xfId="0" applyAlignment="1" applyBorder="1" applyFont="1" applyNumberFormat="1">
      <alignment readingOrder="0"/>
    </xf>
    <xf borderId="1" fillId="0" fontId="5" numFmtId="9" xfId="0" applyAlignment="1" applyBorder="1" applyFont="1" applyNumberFormat="1">
      <alignment readingOrder="0"/>
    </xf>
    <xf borderId="1" fillId="0" fontId="5" numFmtId="0" xfId="0" applyBorder="1" applyFont="1"/>
    <xf borderId="1" fillId="2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0" fontId="8" numFmtId="9" xfId="0" applyAlignment="1" applyBorder="1" applyFont="1" applyNumberFormat="1">
      <alignment horizontal="right" readingOrder="0" shrinkToFit="0" vertical="bottom" wrapText="0"/>
    </xf>
    <xf borderId="1" fillId="3" fontId="8" numFmtId="0" xfId="0" applyAlignment="1" applyBorder="1" applyFont="1">
      <alignment readingOrder="0" shrinkToFit="0" vertical="bottom" wrapText="0"/>
    </xf>
    <xf borderId="1" fillId="3" fontId="8" numFmtId="0" xfId="0" applyAlignment="1" applyBorder="1" applyFont="1">
      <alignment horizontal="right" readingOrder="0" shrinkToFit="0" vertical="bottom" wrapText="0"/>
    </xf>
    <xf borderId="0" fillId="0" fontId="8" numFmtId="10" xfId="0" applyAlignment="1" applyFont="1" applyNumberFormat="1">
      <alignment shrinkToFit="0" vertical="bottom" wrapText="0"/>
    </xf>
    <xf borderId="1" fillId="5" fontId="7" numFmtId="0" xfId="0" applyAlignment="1" applyBorder="1" applyFont="1">
      <alignment readingOrder="0" shrinkToFit="0" vertical="bottom" wrapText="0"/>
    </xf>
    <xf borderId="1" fillId="0" fontId="8" numFmtId="10" xfId="0" applyAlignment="1" applyBorder="1" applyFont="1" applyNumberFormat="1">
      <alignment horizontal="right" readingOrder="0" shrinkToFit="0" vertical="bottom" wrapText="0"/>
    </xf>
    <xf borderId="1" fillId="3" fontId="8" numFmtId="0" xfId="0" applyAlignment="1" applyBorder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9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075E8"/>
                </a:solidFill>
                <a:latin typeface="sans-serif"/>
              </a:defRPr>
            </a:pPr>
            <a:r>
              <a:rPr b="1">
                <a:solidFill>
                  <a:srgbClr val="1075E8"/>
                </a:solidFill>
                <a:latin typeface="sans-serif"/>
              </a:rPr>
              <a:t>Composite Score Factor Weights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Sheet2!$F$24</c:f>
            </c:strRef>
          </c:tx>
          <c:dPt>
            <c:idx val="0"/>
            <c:spPr>
              <a:solidFill>
                <a:srgbClr val="1B285B"/>
              </a:solidFill>
            </c:spPr>
          </c:dPt>
          <c:dPt>
            <c:idx val="1"/>
            <c:spPr>
              <a:solidFill>
                <a:srgbClr val="1075E8"/>
              </a:solidFill>
            </c:spPr>
          </c:dPt>
          <c:dPt>
            <c:idx val="2"/>
            <c:spPr>
              <a:solidFill>
                <a:srgbClr val="88B4F2"/>
              </a:solidFill>
            </c:spPr>
          </c:dPt>
          <c:dPt>
            <c:idx val="3"/>
            <c:spPr>
              <a:solidFill>
                <a:srgbClr val="D7DEF8"/>
              </a:solidFill>
            </c:spPr>
          </c:dPt>
          <c:dPt>
            <c:idx val="4"/>
            <c:spPr>
              <a:solidFill>
                <a:srgbClr val="EDF0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Sheet2!$A$25:$A$29</c:f>
            </c:strRef>
          </c:cat>
          <c:val>
            <c:numRef>
              <c:f>Sheet2!$F$25:$F$29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075E8"/>
                </a:solidFill>
                <a:latin typeface="sans-serif"/>
              </a:defRPr>
            </a:pPr>
            <a:r>
              <a:rPr b="1">
                <a:solidFill>
                  <a:srgbClr val="1075E8"/>
                </a:solidFill>
                <a:latin typeface="sans-serif"/>
              </a:rPr>
              <a:t>Composite Score Factor Weights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Sheet2!$F$24</c:f>
            </c:strRef>
          </c:tx>
          <c:dPt>
            <c:idx val="0"/>
            <c:spPr>
              <a:solidFill>
                <a:srgbClr val="1B285B"/>
              </a:solidFill>
            </c:spPr>
          </c:dPt>
          <c:dPt>
            <c:idx val="1"/>
            <c:spPr>
              <a:solidFill>
                <a:srgbClr val="1075E8"/>
              </a:solidFill>
            </c:spPr>
          </c:dPt>
          <c:dPt>
            <c:idx val="2"/>
            <c:spPr>
              <a:solidFill>
                <a:srgbClr val="88B4F2"/>
              </a:solidFill>
            </c:spPr>
          </c:dPt>
          <c:dPt>
            <c:idx val="3"/>
            <c:spPr>
              <a:solidFill>
                <a:srgbClr val="D7DEF8"/>
              </a:solidFill>
            </c:spPr>
          </c:dPt>
          <c:dPt>
            <c:idx val="4"/>
            <c:spPr>
              <a:solidFill>
                <a:srgbClr val="EDF0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Sheet2!$A$25:$A$29</c:f>
            </c:strRef>
          </c:cat>
          <c:val>
            <c:numRef>
              <c:f>Sheet2!$F$25:$F$29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075E8"/>
                </a:solidFill>
                <a:latin typeface="sans-serif"/>
              </a:defRPr>
            </a:pPr>
            <a:r>
              <a:rPr b="1">
                <a:solidFill>
                  <a:srgbClr val="1075E8"/>
                </a:solidFill>
                <a:latin typeface="sans-serif"/>
              </a:rPr>
              <a:t>Composite Score Factor Weights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Sheet2!$F$24</c:f>
            </c:strRef>
          </c:tx>
          <c:dPt>
            <c:idx val="0"/>
            <c:spPr>
              <a:solidFill>
                <a:srgbClr val="1B285B"/>
              </a:solidFill>
            </c:spPr>
          </c:dPt>
          <c:dPt>
            <c:idx val="1"/>
            <c:spPr>
              <a:solidFill>
                <a:srgbClr val="1075E8"/>
              </a:solidFill>
            </c:spPr>
          </c:dPt>
          <c:dPt>
            <c:idx val="2"/>
            <c:spPr>
              <a:solidFill>
                <a:srgbClr val="88B4F2"/>
              </a:solidFill>
            </c:spPr>
          </c:dPt>
          <c:dPt>
            <c:idx val="3"/>
            <c:spPr>
              <a:solidFill>
                <a:srgbClr val="D7DEF8"/>
              </a:solidFill>
            </c:spPr>
          </c:dPt>
          <c:dPt>
            <c:idx val="4"/>
            <c:spPr>
              <a:solidFill>
                <a:srgbClr val="EDF0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Sheet2!$A$25:$A$29</c:f>
            </c:strRef>
          </c:cat>
          <c:val>
            <c:numRef>
              <c:f>Sheet2!$F$25:$F$29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3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14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152400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3" max="3" width="12.88"/>
    <col customWidth="1" min="5" max="5" width="15.88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>
        <v>20.0</v>
      </c>
      <c r="C2" s="5"/>
    </row>
    <row r="3">
      <c r="A3" s="4" t="s">
        <v>3</v>
      </c>
      <c r="B3" s="4">
        <v>1.58</v>
      </c>
      <c r="C3" s="5"/>
    </row>
    <row r="4">
      <c r="A4" s="4" t="s">
        <v>4</v>
      </c>
      <c r="B4" s="4">
        <f>B2*B3</f>
        <v>31.6</v>
      </c>
      <c r="C4" s="5"/>
    </row>
    <row r="5">
      <c r="A5" s="4" t="s">
        <v>5</v>
      </c>
      <c r="B5" s="4">
        <v>0.1</v>
      </c>
    </row>
    <row r="6">
      <c r="A6" s="4" t="s">
        <v>6</v>
      </c>
      <c r="B6" s="6">
        <v>0.08</v>
      </c>
      <c r="C6" s="5"/>
    </row>
    <row r="7">
      <c r="A7" s="7" t="s">
        <v>7</v>
      </c>
      <c r="B7" s="8">
        <v>3.15E8</v>
      </c>
      <c r="C7" s="5"/>
    </row>
    <row r="8">
      <c r="A8" s="7" t="s">
        <v>8</v>
      </c>
      <c r="B8" s="8">
        <v>0.003</v>
      </c>
      <c r="C8" s="5"/>
    </row>
    <row r="9">
      <c r="A9" s="4" t="s">
        <v>9</v>
      </c>
      <c r="B9" s="6">
        <v>0.4</v>
      </c>
      <c r="C9" s="5"/>
    </row>
    <row r="10">
      <c r="A10" s="9"/>
      <c r="B10" s="10"/>
      <c r="C10" s="5"/>
    </row>
    <row r="11">
      <c r="A11" s="11" t="s">
        <v>10</v>
      </c>
      <c r="B11" s="11" t="s">
        <v>1</v>
      </c>
      <c r="C11" s="5"/>
    </row>
    <row r="12">
      <c r="A12" s="4" t="s">
        <v>11</v>
      </c>
      <c r="B12" s="4">
        <v>1.0</v>
      </c>
      <c r="C12" s="5"/>
    </row>
    <row r="13">
      <c r="A13" s="4" t="s">
        <v>12</v>
      </c>
      <c r="B13" s="4">
        <v>1500000.0</v>
      </c>
      <c r="C13" s="5"/>
    </row>
    <row r="14">
      <c r="A14" s="4" t="s">
        <v>13</v>
      </c>
      <c r="B14" s="12">
        <v>0.075</v>
      </c>
      <c r="C14" s="5"/>
    </row>
    <row r="15">
      <c r="A15" s="4" t="s">
        <v>14</v>
      </c>
      <c r="B15" s="12">
        <v>0.04</v>
      </c>
      <c r="C15" s="5"/>
    </row>
    <row r="16">
      <c r="A16" s="5"/>
      <c r="B16" s="5"/>
      <c r="C16" s="5"/>
    </row>
    <row r="17">
      <c r="A17" s="13" t="s">
        <v>15</v>
      </c>
      <c r="B17" s="13" t="s">
        <v>1</v>
      </c>
      <c r="C17" s="13" t="s">
        <v>16</v>
      </c>
    </row>
    <row r="18">
      <c r="A18" s="4" t="s">
        <v>17</v>
      </c>
      <c r="B18" s="14">
        <f>B4*(1+B6)^B12*8760</f>
        <v>298961.28</v>
      </c>
      <c r="C18" s="15"/>
    </row>
    <row r="19">
      <c r="A19" s="4" t="s">
        <v>18</v>
      </c>
      <c r="B19" s="14">
        <f>B4*(1+B6)^B12*8760*1000*B5</f>
        <v>29896128</v>
      </c>
      <c r="C19" s="15"/>
    </row>
    <row r="20">
      <c r="A20" s="4" t="s">
        <v>19</v>
      </c>
      <c r="B20" s="14">
        <f>B4*(1+B6)^B12*8760*1000*B5-(B4*8760*1000*B5)</f>
        <v>2214528</v>
      </c>
      <c r="C20" s="3">
        <f>B20/B19</f>
        <v>0.07407407407</v>
      </c>
    </row>
    <row r="21">
      <c r="A21" s="4" t="s">
        <v>20</v>
      </c>
      <c r="B21" s="14">
        <f>B4*(1+B6)^B12*B14*8760*1000*B5</f>
        <v>2242209.6</v>
      </c>
      <c r="C21" s="3">
        <f>B21/B19</f>
        <v>0.075</v>
      </c>
    </row>
    <row r="22">
      <c r="A22" s="4" t="s">
        <v>21</v>
      </c>
      <c r="B22" s="14">
        <f>B21/(B19/B9)</f>
        <v>0.03</v>
      </c>
      <c r="C22" s="15"/>
    </row>
    <row r="24">
      <c r="A24" s="13" t="s">
        <v>22</v>
      </c>
      <c r="B24" s="13" t="s">
        <v>1</v>
      </c>
      <c r="C24" s="16" t="s">
        <v>23</v>
      </c>
      <c r="D24" s="16" t="s">
        <v>24</v>
      </c>
      <c r="E24" s="13" t="s">
        <v>25</v>
      </c>
      <c r="F24" s="16" t="s">
        <v>26</v>
      </c>
    </row>
    <row r="25">
      <c r="A25" s="3" t="s">
        <v>27</v>
      </c>
      <c r="B25" s="17">
        <f>B21*B5</f>
        <v>224220.96</v>
      </c>
      <c r="C25" s="18">
        <v>0.0</v>
      </c>
      <c r="D25" s="18">
        <v>300000.0</v>
      </c>
      <c r="E25" s="19">
        <f t="shared" ref="E25:E27" si="1">B25/(C25+D25)*100</f>
        <v>74.74032</v>
      </c>
      <c r="F25" s="20">
        <v>0.35</v>
      </c>
    </row>
    <row r="26">
      <c r="A26" s="4" t="s">
        <v>28</v>
      </c>
      <c r="B26" s="17">
        <f>B15</f>
        <v>0.04</v>
      </c>
      <c r="C26" s="18">
        <v>0.0</v>
      </c>
      <c r="D26" s="18">
        <v>0.08</v>
      </c>
      <c r="E26" s="19">
        <f t="shared" si="1"/>
        <v>50</v>
      </c>
      <c r="F26" s="20">
        <v>0.1</v>
      </c>
    </row>
    <row r="27">
      <c r="A27" s="4" t="s">
        <v>21</v>
      </c>
      <c r="B27" s="17">
        <f>B21/(B19/B9)</f>
        <v>0.03</v>
      </c>
      <c r="C27" s="18">
        <v>0.0</v>
      </c>
      <c r="D27" s="18">
        <v>0.1</v>
      </c>
      <c r="E27" s="19">
        <f t="shared" si="1"/>
        <v>30</v>
      </c>
      <c r="F27" s="20">
        <v>0.2</v>
      </c>
    </row>
    <row r="28">
      <c r="A28" s="4" t="s">
        <v>29</v>
      </c>
      <c r="B28" s="17">
        <f>B13/B21</f>
        <v>0.6689829532</v>
      </c>
      <c r="C28" s="18">
        <v>0.0</v>
      </c>
      <c r="D28" s="18">
        <v>5.0</v>
      </c>
      <c r="E28" s="19">
        <f>(1-B28/(C28+D28))*100</f>
        <v>86.62034094</v>
      </c>
      <c r="F28" s="20">
        <v>0.25</v>
      </c>
    </row>
    <row r="29">
      <c r="A29" s="4" t="s">
        <v>30</v>
      </c>
      <c r="B29" s="17">
        <f>B6</f>
        <v>0.08</v>
      </c>
      <c r="C29" s="18">
        <v>0.0</v>
      </c>
      <c r="D29" s="18">
        <v>0.15</v>
      </c>
      <c r="E29" s="19">
        <f>B29/(C29+D29)*100</f>
        <v>53.33333333</v>
      </c>
      <c r="F29" s="20">
        <v>0.1</v>
      </c>
    </row>
    <row r="31">
      <c r="A31" s="13" t="s">
        <v>31</v>
      </c>
    </row>
    <row r="32">
      <c r="A32" s="14">
        <f>E25*F25+E26*F26+E27*F27+E28*F28+E29*F29</f>
        <v>64.14753057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3" max="3" width="12.88"/>
    <col customWidth="1" min="5" max="5" width="15.88"/>
  </cols>
  <sheetData>
    <row r="1">
      <c r="A1" s="1" t="s">
        <v>0</v>
      </c>
      <c r="B1" s="1" t="s">
        <v>1</v>
      </c>
      <c r="C1" s="2"/>
      <c r="F1" s="21" t="s">
        <v>32</v>
      </c>
    </row>
    <row r="2">
      <c r="A2" s="3" t="s">
        <v>2</v>
      </c>
      <c r="B2" s="4">
        <v>16.0</v>
      </c>
      <c r="C2" s="5"/>
      <c r="D2" s="22">
        <f>E25*F25+E26*F26+E27*F27+E28*F28+E29*F29</f>
        <v>72.35934414</v>
      </c>
      <c r="F2" s="21">
        <v>0.08</v>
      </c>
      <c r="G2" s="21">
        <v>0.09</v>
      </c>
      <c r="H2" s="21">
        <v>0.1</v>
      </c>
      <c r="I2" s="21">
        <v>0.11</v>
      </c>
      <c r="J2" s="21">
        <v>0.12</v>
      </c>
    </row>
    <row r="3">
      <c r="A3" s="4" t="s">
        <v>3</v>
      </c>
      <c r="B3" s="4">
        <v>1.58</v>
      </c>
      <c r="C3" s="5"/>
      <c r="D3" s="21" t="s">
        <v>33</v>
      </c>
      <c r="E3" s="21">
        <v>24.0</v>
      </c>
      <c r="F3" s="21">
        <v>62.3</v>
      </c>
      <c r="G3" s="21">
        <v>68.0</v>
      </c>
      <c r="H3" s="21">
        <v>74.3</v>
      </c>
      <c r="I3" s="21">
        <v>81.2</v>
      </c>
      <c r="J3" s="21">
        <v>88.6</v>
      </c>
    </row>
    <row r="4">
      <c r="A4" s="4" t="s">
        <v>4</v>
      </c>
      <c r="B4" s="4">
        <f>B2*B3</f>
        <v>25.28</v>
      </c>
      <c r="C4" s="5"/>
      <c r="E4" s="21">
        <v>22.0</v>
      </c>
      <c r="F4" s="21">
        <v>60.3</v>
      </c>
      <c r="G4" s="21">
        <v>65.6</v>
      </c>
      <c r="H4" s="21">
        <v>71.4</v>
      </c>
      <c r="I4" s="21">
        <v>77.8</v>
      </c>
      <c r="J4" s="21">
        <v>84.6</v>
      </c>
    </row>
    <row r="5">
      <c r="A5" s="4" t="s">
        <v>5</v>
      </c>
      <c r="B5" s="4">
        <v>0.12</v>
      </c>
      <c r="C5" s="5"/>
      <c r="E5" s="21">
        <v>20.0</v>
      </c>
      <c r="F5" s="21">
        <v>58.3</v>
      </c>
      <c r="G5" s="21">
        <v>63.2</v>
      </c>
      <c r="H5" s="21">
        <v>68.5</v>
      </c>
      <c r="I5" s="21">
        <v>74.3</v>
      </c>
      <c r="J5" s="21">
        <v>80.6</v>
      </c>
    </row>
    <row r="6">
      <c r="A6" s="4" t="s">
        <v>6</v>
      </c>
      <c r="B6" s="6">
        <v>0.08</v>
      </c>
      <c r="C6" s="5"/>
      <c r="E6" s="21">
        <v>18.0</v>
      </c>
      <c r="F6" s="21">
        <v>56.1</v>
      </c>
      <c r="G6" s="21">
        <v>60.6</v>
      </c>
      <c r="H6" s="21">
        <v>65.5</v>
      </c>
      <c r="I6" s="21">
        <v>70.8</v>
      </c>
      <c r="J6" s="21">
        <v>76.5</v>
      </c>
    </row>
    <row r="7">
      <c r="A7" s="7" t="s">
        <v>7</v>
      </c>
      <c r="B7" s="8">
        <v>3.15E8</v>
      </c>
      <c r="C7" s="5"/>
      <c r="E7" s="21">
        <v>16.0</v>
      </c>
      <c r="F7" s="21">
        <v>53.9</v>
      </c>
      <c r="G7" s="21">
        <v>58.0</v>
      </c>
      <c r="H7" s="21">
        <v>62.5</v>
      </c>
      <c r="I7" s="21">
        <v>67.2</v>
      </c>
      <c r="J7" s="21">
        <v>72.4</v>
      </c>
    </row>
    <row r="8">
      <c r="A8" s="7" t="s">
        <v>8</v>
      </c>
      <c r="B8" s="8">
        <v>0.003</v>
      </c>
      <c r="C8" s="5"/>
      <c r="E8" s="21"/>
    </row>
    <row r="9">
      <c r="A9" s="4" t="s">
        <v>9</v>
      </c>
      <c r="B9" s="6">
        <v>0.4</v>
      </c>
      <c r="C9" s="5"/>
    </row>
    <row r="10">
      <c r="A10" s="9"/>
      <c r="B10" s="10"/>
      <c r="C10" s="5"/>
    </row>
    <row r="11">
      <c r="A11" s="11" t="s">
        <v>10</v>
      </c>
      <c r="B11" s="11" t="s">
        <v>1</v>
      </c>
      <c r="C11" s="5"/>
    </row>
    <row r="12">
      <c r="A12" s="4" t="s">
        <v>11</v>
      </c>
      <c r="B12" s="4">
        <v>1.0</v>
      </c>
      <c r="C12" s="5"/>
    </row>
    <row r="13">
      <c r="A13" s="4" t="s">
        <v>12</v>
      </c>
      <c r="B13" s="4">
        <v>1500000.0</v>
      </c>
      <c r="C13" s="5"/>
    </row>
    <row r="14">
      <c r="A14" s="4" t="s">
        <v>13</v>
      </c>
      <c r="B14" s="12">
        <v>0.075</v>
      </c>
      <c r="C14" s="5"/>
    </row>
    <row r="15">
      <c r="A15" s="4" t="s">
        <v>14</v>
      </c>
      <c r="B15" s="6">
        <v>0.075</v>
      </c>
      <c r="C15" s="5"/>
    </row>
    <row r="16">
      <c r="A16" s="5"/>
      <c r="B16" s="5"/>
      <c r="C16" s="5"/>
    </row>
    <row r="17">
      <c r="A17" s="13" t="s">
        <v>15</v>
      </c>
      <c r="B17" s="13" t="s">
        <v>1</v>
      </c>
      <c r="C17" s="13" t="s">
        <v>16</v>
      </c>
    </row>
    <row r="18">
      <c r="A18" s="4" t="s">
        <v>17</v>
      </c>
      <c r="B18" s="14">
        <f>B4*(1+B6)^B12*8760</f>
        <v>239169.024</v>
      </c>
      <c r="C18" s="15"/>
    </row>
    <row r="19">
      <c r="A19" s="4" t="s">
        <v>18</v>
      </c>
      <c r="B19" s="14">
        <f>B4*(1+B6)^B12*8760*1000*B5</f>
        <v>28700282.88</v>
      </c>
      <c r="C19" s="15"/>
    </row>
    <row r="20">
      <c r="A20" s="4" t="s">
        <v>19</v>
      </c>
      <c r="B20" s="14">
        <f>B4*(1+B6)^B12*8760*1000*B5-(B4*8760*1000*B5)</f>
        <v>2125946.88</v>
      </c>
      <c r="C20" s="3">
        <f>B20/B19</f>
        <v>0.07407407407</v>
      </c>
    </row>
    <row r="21">
      <c r="A21" s="4" t="s">
        <v>20</v>
      </c>
      <c r="B21" s="14">
        <f>B4*(1+B6)^B12*B14*8760*1000*B5</f>
        <v>2152521.216</v>
      </c>
      <c r="C21" s="3">
        <f>B21/B19</f>
        <v>0.075</v>
      </c>
    </row>
    <row r="22">
      <c r="A22" s="4" t="s">
        <v>21</v>
      </c>
      <c r="B22" s="14">
        <f>B21/(B19/B9)</f>
        <v>0.03</v>
      </c>
      <c r="C22" s="15"/>
    </row>
    <row r="24">
      <c r="A24" s="13" t="s">
        <v>22</v>
      </c>
      <c r="B24" s="13" t="s">
        <v>1</v>
      </c>
      <c r="C24" s="16" t="s">
        <v>23</v>
      </c>
      <c r="D24" s="16" t="s">
        <v>24</v>
      </c>
      <c r="E24" s="13" t="s">
        <v>25</v>
      </c>
      <c r="F24" s="16" t="s">
        <v>26</v>
      </c>
    </row>
    <row r="25">
      <c r="A25" s="3" t="s">
        <v>27</v>
      </c>
      <c r="B25" s="17">
        <f>B21*B5</f>
        <v>258302.5459</v>
      </c>
      <c r="C25" s="18">
        <v>0.0</v>
      </c>
      <c r="D25" s="18">
        <v>300000.0</v>
      </c>
      <c r="E25" s="19">
        <f t="shared" ref="E25:E27" si="1">B25/(C25+D25)*100</f>
        <v>86.10084864</v>
      </c>
      <c r="F25" s="20">
        <v>0.35</v>
      </c>
    </row>
    <row r="26">
      <c r="A26" s="4" t="s">
        <v>28</v>
      </c>
      <c r="B26" s="17">
        <f>B15</f>
        <v>0.075</v>
      </c>
      <c r="C26" s="18">
        <v>0.0</v>
      </c>
      <c r="D26" s="18">
        <v>0.08</v>
      </c>
      <c r="E26" s="19">
        <f t="shared" si="1"/>
        <v>93.75</v>
      </c>
      <c r="F26" s="20">
        <v>0.1</v>
      </c>
    </row>
    <row r="27">
      <c r="A27" s="4" t="s">
        <v>21</v>
      </c>
      <c r="B27" s="17">
        <f>B21/(B19/B9)</f>
        <v>0.03</v>
      </c>
      <c r="C27" s="18">
        <v>0.0</v>
      </c>
      <c r="D27" s="18">
        <v>0.1</v>
      </c>
      <c r="E27" s="19">
        <f t="shared" si="1"/>
        <v>30</v>
      </c>
      <c r="F27" s="20">
        <v>0.2</v>
      </c>
    </row>
    <row r="28">
      <c r="A28" s="4" t="s">
        <v>29</v>
      </c>
      <c r="B28" s="17">
        <f>B13/B21</f>
        <v>0.696857243</v>
      </c>
      <c r="C28" s="18">
        <v>0.0</v>
      </c>
      <c r="D28" s="18">
        <v>5.0</v>
      </c>
      <c r="E28" s="19">
        <f>(1-B28/(C28+D28))*100</f>
        <v>86.06285514</v>
      </c>
      <c r="F28" s="20">
        <v>0.25</v>
      </c>
    </row>
    <row r="29">
      <c r="A29" s="4" t="s">
        <v>30</v>
      </c>
      <c r="B29" s="17">
        <f>B6</f>
        <v>0.08</v>
      </c>
      <c r="C29" s="18">
        <v>0.0</v>
      </c>
      <c r="D29" s="18">
        <v>0.15</v>
      </c>
      <c r="E29" s="19">
        <f>B29/(C29+D29)*100</f>
        <v>53.33333333</v>
      </c>
      <c r="F29" s="20">
        <v>0.1</v>
      </c>
    </row>
    <row r="31">
      <c r="A31" s="13" t="s">
        <v>34</v>
      </c>
    </row>
    <row r="32">
      <c r="A32" s="14">
        <f>E25*F25+E26*F26+E27*F27+E28*F28+E29*F29</f>
        <v>72.35934414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3" max="3" width="12.88"/>
    <col customWidth="1" min="5" max="5" width="15.88"/>
  </cols>
  <sheetData>
    <row r="1">
      <c r="A1" s="23" t="s">
        <v>0</v>
      </c>
      <c r="B1" s="23" t="s">
        <v>1</v>
      </c>
      <c r="C1" s="24"/>
      <c r="D1" s="25"/>
      <c r="E1" s="25"/>
      <c r="F1" s="25"/>
    </row>
    <row r="2">
      <c r="A2" s="26" t="s">
        <v>2</v>
      </c>
      <c r="B2" s="18">
        <v>20.0</v>
      </c>
      <c r="C2" s="25"/>
      <c r="D2" s="25"/>
      <c r="E2" s="25"/>
      <c r="F2" s="25"/>
    </row>
    <row r="3">
      <c r="A3" s="26" t="s">
        <v>3</v>
      </c>
      <c r="B3" s="18">
        <v>1.4</v>
      </c>
      <c r="C3" s="25"/>
      <c r="D3" s="25"/>
      <c r="E3" s="25"/>
      <c r="F3" s="25"/>
    </row>
    <row r="4">
      <c r="A4" s="26" t="s">
        <v>4</v>
      </c>
      <c r="B4" s="18">
        <v>28.0</v>
      </c>
      <c r="C4" s="25"/>
      <c r="D4" s="25"/>
      <c r="E4" s="25"/>
      <c r="F4" s="25"/>
    </row>
    <row r="5">
      <c r="A5" s="26" t="s">
        <v>5</v>
      </c>
      <c r="B5" s="18">
        <v>0.1</v>
      </c>
      <c r="C5" s="25"/>
      <c r="D5" s="25"/>
      <c r="E5" s="25"/>
      <c r="F5" s="25"/>
    </row>
    <row r="6">
      <c r="A6" s="26" t="s">
        <v>6</v>
      </c>
      <c r="B6" s="20">
        <v>0.08</v>
      </c>
      <c r="C6" s="25"/>
      <c r="D6" s="25"/>
      <c r="E6" s="25"/>
      <c r="F6" s="25"/>
    </row>
    <row r="7">
      <c r="A7" s="27" t="s">
        <v>7</v>
      </c>
      <c r="B7" s="8">
        <v>3.15E8</v>
      </c>
      <c r="C7" s="25"/>
      <c r="D7" s="25"/>
      <c r="E7" s="25"/>
      <c r="F7" s="25"/>
    </row>
    <row r="8">
      <c r="A8" s="27" t="s">
        <v>8</v>
      </c>
      <c r="B8" s="8">
        <v>0.003</v>
      </c>
      <c r="C8" s="25"/>
      <c r="D8" s="25"/>
      <c r="E8" s="25"/>
      <c r="F8" s="25"/>
    </row>
    <row r="9">
      <c r="A9" s="26" t="s">
        <v>9</v>
      </c>
      <c r="B9" s="20">
        <v>0.4</v>
      </c>
      <c r="C9" s="25"/>
      <c r="D9" s="25"/>
      <c r="E9" s="25"/>
      <c r="F9" s="25"/>
    </row>
    <row r="10">
      <c r="A10" s="24"/>
      <c r="B10" s="28"/>
      <c r="C10" s="25"/>
      <c r="D10" s="25"/>
      <c r="E10" s="25"/>
      <c r="F10" s="25"/>
    </row>
    <row r="11">
      <c r="A11" s="16" t="s">
        <v>10</v>
      </c>
      <c r="B11" s="16" t="s">
        <v>1</v>
      </c>
      <c r="C11" s="25"/>
      <c r="D11" s="25"/>
      <c r="E11" s="25"/>
      <c r="F11" s="25"/>
    </row>
    <row r="12">
      <c r="A12" s="26" t="s">
        <v>11</v>
      </c>
      <c r="B12" s="18">
        <v>1.0</v>
      </c>
      <c r="C12" s="25"/>
      <c r="D12" s="25"/>
      <c r="E12" s="25"/>
      <c r="F12" s="25"/>
    </row>
    <row r="13">
      <c r="A13" s="26" t="s">
        <v>12</v>
      </c>
      <c r="B13" s="18">
        <v>1500000.0</v>
      </c>
      <c r="C13" s="25"/>
      <c r="D13" s="25"/>
      <c r="E13" s="25"/>
      <c r="F13" s="25"/>
    </row>
    <row r="14">
      <c r="A14" s="26" t="s">
        <v>13</v>
      </c>
      <c r="B14" s="29">
        <v>0.07</v>
      </c>
      <c r="C14" s="25"/>
      <c r="D14" s="25"/>
      <c r="E14" s="25"/>
      <c r="F14" s="25"/>
    </row>
    <row r="15">
      <c r="A15" s="26" t="s">
        <v>14</v>
      </c>
      <c r="B15" s="29">
        <v>0.04</v>
      </c>
      <c r="C15" s="25"/>
      <c r="D15" s="25"/>
      <c r="E15" s="25"/>
      <c r="F15" s="25"/>
    </row>
    <row r="16">
      <c r="A16" s="25"/>
      <c r="B16" s="25"/>
      <c r="C16" s="25"/>
      <c r="D16" s="25"/>
      <c r="E16" s="25"/>
      <c r="F16" s="25"/>
    </row>
    <row r="17">
      <c r="A17" s="16" t="s">
        <v>15</v>
      </c>
      <c r="B17" s="16" t="s">
        <v>1</v>
      </c>
      <c r="C17" s="16" t="s">
        <v>16</v>
      </c>
      <c r="D17" s="25"/>
      <c r="E17" s="25"/>
      <c r="F17" s="25"/>
    </row>
    <row r="18">
      <c r="A18" s="26" t="s">
        <v>17</v>
      </c>
      <c r="B18" s="18">
        <v>2.649024E8</v>
      </c>
      <c r="C18" s="30"/>
      <c r="D18" s="25"/>
      <c r="E18" s="25"/>
      <c r="F18" s="25"/>
    </row>
    <row r="19">
      <c r="A19" s="26" t="s">
        <v>18</v>
      </c>
      <c r="B19" s="18">
        <v>2.649024E7</v>
      </c>
      <c r="C19" s="30"/>
      <c r="D19" s="25"/>
      <c r="E19" s="25"/>
      <c r="F19" s="25"/>
    </row>
    <row r="20">
      <c r="A20" s="26" t="s">
        <v>19</v>
      </c>
      <c r="B20" s="18">
        <v>1962240.0</v>
      </c>
      <c r="C20" s="18">
        <v>0.074074074</v>
      </c>
      <c r="D20" s="25"/>
      <c r="E20" s="25"/>
      <c r="F20" s="25"/>
    </row>
    <row r="21">
      <c r="A21" s="26" t="s">
        <v>20</v>
      </c>
      <c r="B21" s="18">
        <v>1854316.8</v>
      </c>
      <c r="C21" s="18">
        <v>0.07</v>
      </c>
      <c r="D21" s="25"/>
      <c r="E21" s="25"/>
      <c r="F21" s="25"/>
    </row>
    <row r="22">
      <c r="A22" s="26" t="s">
        <v>21</v>
      </c>
      <c r="B22" s="18">
        <v>0.028</v>
      </c>
      <c r="C22" s="30"/>
      <c r="D22" s="25"/>
      <c r="E22" s="25"/>
      <c r="F22" s="25"/>
    </row>
    <row r="23">
      <c r="A23" s="25"/>
      <c r="B23" s="25"/>
      <c r="C23" s="25"/>
      <c r="D23" s="25"/>
      <c r="E23" s="25"/>
      <c r="F23" s="25"/>
    </row>
    <row r="24">
      <c r="A24" s="16" t="s">
        <v>22</v>
      </c>
      <c r="B24" s="16" t="s">
        <v>1</v>
      </c>
      <c r="C24" s="16" t="s">
        <v>23</v>
      </c>
      <c r="D24" s="16" t="s">
        <v>24</v>
      </c>
      <c r="E24" s="13" t="s">
        <v>25</v>
      </c>
      <c r="F24" s="16" t="s">
        <v>26</v>
      </c>
    </row>
    <row r="25">
      <c r="A25" s="26" t="s">
        <v>27</v>
      </c>
      <c r="B25" s="31">
        <v>92715.84</v>
      </c>
      <c r="C25" s="18">
        <v>0.0</v>
      </c>
      <c r="D25" s="18">
        <v>300000.0</v>
      </c>
      <c r="E25" s="19">
        <f t="shared" ref="E25:E27" si="1">B25/(C25+D25)*100</f>
        <v>30.90528</v>
      </c>
      <c r="F25" s="20">
        <v>0.35</v>
      </c>
    </row>
    <row r="26">
      <c r="A26" s="26" t="s">
        <v>28</v>
      </c>
      <c r="B26" s="31">
        <v>0.04</v>
      </c>
      <c r="C26" s="18">
        <v>0.0</v>
      </c>
      <c r="D26" s="18">
        <v>0.08</v>
      </c>
      <c r="E26" s="19">
        <f t="shared" si="1"/>
        <v>50</v>
      </c>
      <c r="F26" s="20">
        <v>0.1</v>
      </c>
    </row>
    <row r="27">
      <c r="A27" s="26" t="s">
        <v>35</v>
      </c>
      <c r="B27" s="31">
        <v>0.03</v>
      </c>
      <c r="C27" s="18">
        <v>0.0</v>
      </c>
      <c r="D27" s="18">
        <v>0.1</v>
      </c>
      <c r="E27" s="19">
        <f t="shared" si="1"/>
        <v>30</v>
      </c>
      <c r="F27" s="20">
        <v>0.2</v>
      </c>
    </row>
    <row r="28">
      <c r="A28" s="26" t="s">
        <v>29</v>
      </c>
      <c r="B28" s="31">
        <v>0.81</v>
      </c>
      <c r="C28" s="18">
        <v>0.0</v>
      </c>
      <c r="D28" s="18">
        <v>5.0</v>
      </c>
      <c r="E28" s="19">
        <f>(1-B28/(C28+D28))*100</f>
        <v>83.8</v>
      </c>
      <c r="F28" s="20">
        <v>0.25</v>
      </c>
      <c r="G28" s="9" t="s">
        <v>36</v>
      </c>
    </row>
    <row r="29">
      <c r="A29" s="26" t="s">
        <v>30</v>
      </c>
      <c r="B29" s="31">
        <v>0.08</v>
      </c>
      <c r="C29" s="18">
        <v>0.0</v>
      </c>
      <c r="D29" s="18">
        <v>0.15</v>
      </c>
      <c r="E29" s="19">
        <f>B29/(C29+D29)*100</f>
        <v>53.33333333</v>
      </c>
      <c r="F29" s="20">
        <v>0.1</v>
      </c>
    </row>
    <row r="30">
      <c r="A30" s="25"/>
      <c r="B30" s="25"/>
      <c r="C30" s="25"/>
      <c r="D30" s="25"/>
      <c r="E30" s="25"/>
      <c r="F30" s="25"/>
    </row>
    <row r="31">
      <c r="A31" s="16" t="s">
        <v>37</v>
      </c>
      <c r="B31" s="25"/>
      <c r="C31" s="25"/>
      <c r="D31" s="25"/>
      <c r="E31" s="25"/>
      <c r="F31" s="25"/>
    </row>
    <row r="32">
      <c r="A32" s="14">
        <f>E25*F25+E26*F26+E27*F27+E28*F28+E29*F29</f>
        <v>48.10018133</v>
      </c>
      <c r="B32" s="25"/>
      <c r="C32" s="25"/>
      <c r="D32" s="25"/>
      <c r="E32" s="25"/>
      <c r="F32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3" max="3" width="12.88"/>
    <col customWidth="1" min="5" max="5" width="15.88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>
        <v>20.0</v>
      </c>
      <c r="C2" s="5"/>
    </row>
    <row r="3">
      <c r="A3" s="4" t="s">
        <v>3</v>
      </c>
      <c r="B3" s="4">
        <v>1.58</v>
      </c>
      <c r="C3" s="5"/>
    </row>
    <row r="4">
      <c r="A4" s="4" t="s">
        <v>4</v>
      </c>
      <c r="B4" s="4">
        <f>B2*B3</f>
        <v>31.6</v>
      </c>
      <c r="C4" s="5"/>
    </row>
    <row r="5">
      <c r="A5" s="4" t="s">
        <v>5</v>
      </c>
      <c r="B5" s="4">
        <v>0.26</v>
      </c>
      <c r="C5" s="5"/>
    </row>
    <row r="6">
      <c r="A6" s="4" t="s">
        <v>6</v>
      </c>
      <c r="B6" s="6">
        <v>0.15</v>
      </c>
      <c r="C6" s="5"/>
    </row>
    <row r="7">
      <c r="A7" s="7" t="s">
        <v>7</v>
      </c>
      <c r="B7" s="7">
        <v>50.0</v>
      </c>
      <c r="C7" s="5"/>
    </row>
    <row r="8">
      <c r="A8" s="7" t="s">
        <v>8</v>
      </c>
      <c r="B8" s="7">
        <v>0.001</v>
      </c>
      <c r="C8" s="5"/>
    </row>
    <row r="9">
      <c r="A9" s="4" t="s">
        <v>9</v>
      </c>
      <c r="B9" s="6">
        <v>0.4</v>
      </c>
      <c r="C9" s="5"/>
    </row>
    <row r="10">
      <c r="A10" s="9"/>
      <c r="B10" s="10"/>
      <c r="C10" s="5"/>
    </row>
    <row r="11">
      <c r="A11" s="11" t="s">
        <v>10</v>
      </c>
      <c r="B11" s="11" t="s">
        <v>1</v>
      </c>
      <c r="C11" s="5"/>
    </row>
    <row r="12">
      <c r="A12" s="4" t="s">
        <v>11</v>
      </c>
      <c r="B12" s="4">
        <v>1.0</v>
      </c>
      <c r="C12" s="5"/>
    </row>
    <row r="13">
      <c r="A13" s="4" t="s">
        <v>12</v>
      </c>
      <c r="B13" s="4">
        <v>10000.0</v>
      </c>
      <c r="C13" s="5"/>
    </row>
    <row r="14">
      <c r="A14" s="4" t="s">
        <v>13</v>
      </c>
      <c r="B14" s="12">
        <v>0.075</v>
      </c>
      <c r="C14" s="5"/>
    </row>
    <row r="15">
      <c r="A15" s="4" t="s">
        <v>14</v>
      </c>
      <c r="B15" s="12">
        <v>0.075</v>
      </c>
      <c r="C15" s="5"/>
    </row>
    <row r="16">
      <c r="A16" s="5"/>
      <c r="B16" s="5"/>
      <c r="C16" s="5"/>
    </row>
    <row r="17">
      <c r="A17" s="13" t="s">
        <v>15</v>
      </c>
      <c r="B17" s="13" t="s">
        <v>1</v>
      </c>
      <c r="C17" s="13" t="s">
        <v>16</v>
      </c>
    </row>
    <row r="18">
      <c r="A18" s="4" t="s">
        <v>17</v>
      </c>
      <c r="B18" s="14">
        <f>B4*(1+B6)^B12*8760</f>
        <v>318338.4</v>
      </c>
      <c r="C18" s="15"/>
    </row>
    <row r="19">
      <c r="A19" s="4" t="s">
        <v>18</v>
      </c>
      <c r="B19" s="14">
        <f>B4*(1+B6)^B12*8760*1000*B5</f>
        <v>82767984</v>
      </c>
      <c r="C19" s="15"/>
    </row>
    <row r="20">
      <c r="A20" s="4" t="s">
        <v>19</v>
      </c>
      <c r="B20" s="14">
        <f>B4*(1+B6)^B12*8760*1000*B5-(B4*8760*1000*B5)</f>
        <v>10795824</v>
      </c>
      <c r="C20" s="3">
        <f>B20/B19</f>
        <v>0.1304347826</v>
      </c>
    </row>
    <row r="21">
      <c r="A21" s="4" t="s">
        <v>20</v>
      </c>
      <c r="B21" s="14">
        <f>B4*(1+B6)^B12*B14*8760*1000*B5</f>
        <v>6207598.8</v>
      </c>
      <c r="C21" s="3">
        <f>B21/B19</f>
        <v>0.075</v>
      </c>
    </row>
    <row r="22">
      <c r="A22" s="4" t="s">
        <v>21</v>
      </c>
      <c r="B22" s="14">
        <f>B21/(B19/B9)</f>
        <v>0.03</v>
      </c>
      <c r="C22" s="15"/>
    </row>
    <row r="24">
      <c r="A24" s="32" t="s">
        <v>22</v>
      </c>
      <c r="B24" s="32" t="s">
        <v>1</v>
      </c>
      <c r="C24" s="32" t="s">
        <v>23</v>
      </c>
      <c r="D24" s="32" t="s">
        <v>24</v>
      </c>
      <c r="E24" s="32" t="s">
        <v>25</v>
      </c>
      <c r="F24" s="32" t="s">
        <v>26</v>
      </c>
    </row>
    <row r="25">
      <c r="A25" s="33" t="s">
        <v>27</v>
      </c>
      <c r="B25" s="34">
        <f>(1+B6)^B12*B14*1000*B5</f>
        <v>22.425</v>
      </c>
      <c r="C25" s="35">
        <v>0.0</v>
      </c>
      <c r="D25" s="35">
        <v>100000.0</v>
      </c>
      <c r="E25" s="36">
        <f t="shared" ref="E25:E29" si="1">B25/(C25+D25)*100</f>
        <v>0.022425</v>
      </c>
      <c r="F25" s="37">
        <v>0.35</v>
      </c>
    </row>
    <row r="26">
      <c r="A26" s="35" t="s">
        <v>28</v>
      </c>
      <c r="B26" s="34">
        <f>B15</f>
        <v>0.075</v>
      </c>
      <c r="C26" s="35">
        <v>0.0</v>
      </c>
      <c r="D26" s="35">
        <v>0.1</v>
      </c>
      <c r="E26" s="36">
        <f t="shared" si="1"/>
        <v>75</v>
      </c>
      <c r="F26" s="37">
        <v>0.1</v>
      </c>
    </row>
    <row r="27">
      <c r="A27" s="35" t="s">
        <v>21</v>
      </c>
      <c r="B27" s="34">
        <f>B21/(B19/B9)</f>
        <v>0.03</v>
      </c>
      <c r="C27" s="35">
        <v>0.0</v>
      </c>
      <c r="D27" s="35">
        <v>0.08</v>
      </c>
      <c r="E27" s="36">
        <f t="shared" si="1"/>
        <v>37.5</v>
      </c>
      <c r="F27" s="37">
        <v>0.2</v>
      </c>
    </row>
    <row r="28">
      <c r="A28" s="35" t="s">
        <v>29</v>
      </c>
      <c r="B28" s="34">
        <f>B13/B21</f>
        <v>0.001610928851</v>
      </c>
      <c r="C28" s="35">
        <v>0.0</v>
      </c>
      <c r="D28" s="35">
        <v>5.0</v>
      </c>
      <c r="E28" s="36">
        <f t="shared" si="1"/>
        <v>0.03221857701</v>
      </c>
      <c r="F28" s="37">
        <v>0.25</v>
      </c>
    </row>
    <row r="29">
      <c r="A29" s="35" t="s">
        <v>30</v>
      </c>
      <c r="B29" s="34">
        <f>B6</f>
        <v>0.15</v>
      </c>
      <c r="C29" s="35">
        <v>0.0</v>
      </c>
      <c r="D29" s="35">
        <v>0.1</v>
      </c>
      <c r="E29" s="36">
        <f t="shared" si="1"/>
        <v>150</v>
      </c>
      <c r="F29" s="37">
        <v>0.1</v>
      </c>
    </row>
    <row r="31">
      <c r="A31" s="32" t="s">
        <v>34</v>
      </c>
    </row>
    <row r="32">
      <c r="A32" s="38">
        <f>E25*F25+E26*F26+E27*F27+E28*F28+E29*F29</f>
        <v>30.01590339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</cols>
  <sheetData>
    <row r="1">
      <c r="A1" s="39" t="s">
        <v>0</v>
      </c>
      <c r="B1" s="39" t="s">
        <v>1</v>
      </c>
      <c r="C1" s="40"/>
      <c r="D1" s="41"/>
      <c r="E1" s="41"/>
      <c r="F1" s="41"/>
    </row>
    <row r="2">
      <c r="A2" s="42" t="s">
        <v>2</v>
      </c>
      <c r="B2" s="43">
        <v>20.0</v>
      </c>
      <c r="C2" s="44"/>
      <c r="D2" s="41"/>
      <c r="E2" s="41"/>
      <c r="F2" s="41"/>
    </row>
    <row r="3">
      <c r="A3" s="42" t="s">
        <v>3</v>
      </c>
      <c r="B3" s="43">
        <v>1.4</v>
      </c>
      <c r="C3" s="44"/>
      <c r="D3" s="41"/>
      <c r="E3" s="41"/>
      <c r="F3" s="41"/>
    </row>
    <row r="4">
      <c r="A4" s="42" t="s">
        <v>4</v>
      </c>
      <c r="B4" s="43">
        <v>28.0</v>
      </c>
      <c r="C4" s="44"/>
      <c r="D4" s="41"/>
      <c r="E4" s="41"/>
      <c r="F4" s="41"/>
    </row>
    <row r="5">
      <c r="A5" s="42" t="s">
        <v>5</v>
      </c>
      <c r="B5" s="43">
        <v>0.1</v>
      </c>
      <c r="C5" s="44"/>
      <c r="D5" s="41"/>
      <c r="E5" s="41"/>
      <c r="F5" s="41"/>
    </row>
    <row r="6">
      <c r="A6" s="42" t="s">
        <v>6</v>
      </c>
      <c r="B6" s="45">
        <v>0.08</v>
      </c>
      <c r="C6" s="44"/>
      <c r="D6" s="41"/>
      <c r="E6" s="41"/>
      <c r="F6" s="41"/>
    </row>
    <row r="7">
      <c r="A7" s="46" t="s">
        <v>7</v>
      </c>
      <c r="B7" s="47">
        <v>3.15E8</v>
      </c>
      <c r="C7" s="44"/>
      <c r="D7" s="41"/>
      <c r="E7" s="41"/>
      <c r="F7" s="41"/>
    </row>
    <row r="8">
      <c r="A8" s="46" t="s">
        <v>8</v>
      </c>
      <c r="B8" s="47">
        <v>0.003</v>
      </c>
      <c r="C8" s="44"/>
      <c r="D8" s="41"/>
      <c r="E8" s="41"/>
      <c r="F8" s="41"/>
    </row>
    <row r="9">
      <c r="A9" s="42" t="s">
        <v>9</v>
      </c>
      <c r="B9" s="45">
        <v>0.4</v>
      </c>
      <c r="C9" s="44"/>
      <c r="D9" s="41"/>
      <c r="E9" s="41"/>
      <c r="F9" s="41"/>
    </row>
    <row r="10">
      <c r="A10" s="40"/>
      <c r="B10" s="48"/>
      <c r="C10" s="44"/>
      <c r="D10" s="41"/>
      <c r="E10" s="41"/>
      <c r="F10" s="41"/>
    </row>
    <row r="11">
      <c r="A11" s="49" t="s">
        <v>10</v>
      </c>
      <c r="B11" s="49" t="s">
        <v>1</v>
      </c>
      <c r="C11" s="44"/>
      <c r="D11" s="41"/>
      <c r="E11" s="41"/>
      <c r="F11" s="41"/>
    </row>
    <row r="12">
      <c r="A12" s="42" t="s">
        <v>11</v>
      </c>
      <c r="B12" s="43">
        <v>1.0</v>
      </c>
      <c r="C12" s="44"/>
      <c r="D12" s="41"/>
      <c r="E12" s="41"/>
      <c r="F12" s="41"/>
    </row>
    <row r="13">
      <c r="A13" s="42" t="s">
        <v>12</v>
      </c>
      <c r="B13" s="43">
        <v>1500000.0</v>
      </c>
      <c r="C13" s="44"/>
      <c r="D13" s="41"/>
      <c r="E13" s="41"/>
      <c r="F13" s="41"/>
    </row>
    <row r="14">
      <c r="A14" s="42" t="s">
        <v>13</v>
      </c>
      <c r="B14" s="50">
        <v>0.07</v>
      </c>
      <c r="C14" s="44"/>
      <c r="D14" s="41"/>
      <c r="E14" s="41"/>
      <c r="F14" s="41"/>
    </row>
    <row r="15">
      <c r="A15" s="42" t="s">
        <v>14</v>
      </c>
      <c r="B15" s="50">
        <v>0.04</v>
      </c>
      <c r="C15" s="44"/>
      <c r="D15" s="41"/>
      <c r="E15" s="41"/>
      <c r="F15" s="41"/>
    </row>
    <row r="16">
      <c r="A16" s="44"/>
      <c r="B16" s="44"/>
      <c r="C16" s="44"/>
      <c r="D16" s="41"/>
      <c r="E16" s="41"/>
      <c r="F16" s="41"/>
    </row>
    <row r="17">
      <c r="A17" s="49" t="s">
        <v>15</v>
      </c>
      <c r="B17" s="49" t="s">
        <v>1</v>
      </c>
      <c r="C17" s="49" t="s">
        <v>16</v>
      </c>
      <c r="D17" s="41"/>
      <c r="E17" s="41"/>
      <c r="F17" s="41"/>
    </row>
    <row r="18">
      <c r="A18" s="42" t="s">
        <v>17</v>
      </c>
      <c r="B18" s="43">
        <v>2.649024E8</v>
      </c>
      <c r="C18" s="51"/>
      <c r="D18" s="41"/>
      <c r="E18" s="41"/>
      <c r="F18" s="41"/>
    </row>
    <row r="19">
      <c r="A19" s="42" t="s">
        <v>18</v>
      </c>
      <c r="B19" s="43">
        <v>2.649024E7</v>
      </c>
      <c r="C19" s="51"/>
      <c r="D19" s="41"/>
      <c r="E19" s="41"/>
      <c r="F19" s="41"/>
    </row>
    <row r="20">
      <c r="A20" s="42" t="s">
        <v>19</v>
      </c>
      <c r="B20" s="43">
        <v>1962240.0</v>
      </c>
      <c r="C20" s="43">
        <v>0.074074074</v>
      </c>
      <c r="D20" s="41"/>
      <c r="E20" s="41"/>
      <c r="F20" s="41"/>
    </row>
    <row r="21">
      <c r="A21" s="42" t="s">
        <v>20</v>
      </c>
      <c r="B21" s="43">
        <v>1854316.8</v>
      </c>
      <c r="C21" s="43">
        <v>0.07</v>
      </c>
      <c r="D21" s="41"/>
      <c r="E21" s="41"/>
      <c r="F21" s="41"/>
    </row>
    <row r="22">
      <c r="A22" s="42" t="s">
        <v>21</v>
      </c>
      <c r="B22" s="43">
        <v>0.028</v>
      </c>
      <c r="C22" s="51"/>
      <c r="D22" s="41"/>
      <c r="E22" s="41"/>
      <c r="F22" s="41"/>
    </row>
    <row r="23">
      <c r="A23" s="41"/>
      <c r="B23" s="41"/>
      <c r="C23" s="41"/>
      <c r="D23" s="41"/>
      <c r="E23" s="41"/>
      <c r="F23" s="41"/>
    </row>
    <row r="24">
      <c r="A24" s="52"/>
      <c r="B24" s="52"/>
      <c r="C24" s="52"/>
      <c r="D24" s="52"/>
      <c r="E24" s="52"/>
      <c r="F24" s="52"/>
    </row>
    <row r="25">
      <c r="A25" s="52"/>
      <c r="B25" s="53"/>
      <c r="C25" s="54"/>
      <c r="D25" s="54"/>
      <c r="E25" s="55"/>
      <c r="F25" s="56"/>
    </row>
    <row r="26">
      <c r="A26" s="52"/>
      <c r="B26" s="54"/>
      <c r="C26" s="54"/>
      <c r="D26" s="54"/>
      <c r="E26" s="55"/>
      <c r="F26" s="56"/>
    </row>
    <row r="27">
      <c r="A27" s="52"/>
      <c r="B27" s="54"/>
      <c r="C27" s="54"/>
      <c r="D27" s="54"/>
      <c r="E27" s="55"/>
      <c r="F27" s="56"/>
    </row>
    <row r="28">
      <c r="A28" s="52"/>
      <c r="B28" s="54"/>
      <c r="C28" s="54"/>
      <c r="D28" s="54"/>
      <c r="E28" s="55"/>
      <c r="F28" s="56"/>
    </row>
    <row r="29">
      <c r="A29" s="52"/>
      <c r="B29" s="54"/>
      <c r="C29" s="54"/>
      <c r="D29" s="54"/>
      <c r="E29" s="55"/>
      <c r="F29" s="56"/>
    </row>
    <row r="30">
      <c r="A30" s="57"/>
      <c r="B30" s="57"/>
      <c r="C30" s="57"/>
      <c r="D30" s="57"/>
      <c r="E30" s="57"/>
      <c r="F30" s="57"/>
    </row>
    <row r="31">
      <c r="A31" s="52"/>
      <c r="B31" s="57"/>
      <c r="C31" s="57"/>
      <c r="D31" s="57"/>
      <c r="E31" s="57"/>
      <c r="F31" s="57"/>
    </row>
    <row r="32">
      <c r="A32" s="54"/>
      <c r="B32" s="57"/>
      <c r="C32" s="57"/>
      <c r="D32" s="57"/>
      <c r="E32" s="57"/>
      <c r="F32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>
        <v>20.0</v>
      </c>
      <c r="C2" s="5"/>
    </row>
    <row r="3">
      <c r="A3" s="4" t="s">
        <v>3</v>
      </c>
      <c r="B3" s="4">
        <v>1.58</v>
      </c>
      <c r="C3" s="5"/>
    </row>
    <row r="4">
      <c r="A4" s="4" t="s">
        <v>4</v>
      </c>
      <c r="B4" s="4">
        <f>B2*B3</f>
        <v>31.6</v>
      </c>
      <c r="C4" s="5"/>
    </row>
    <row r="5">
      <c r="A5" s="4" t="s">
        <v>5</v>
      </c>
      <c r="B5" s="4">
        <v>0.26</v>
      </c>
      <c r="C5" s="5"/>
    </row>
    <row r="6">
      <c r="A6" s="4" t="s">
        <v>6</v>
      </c>
      <c r="B6" s="6">
        <v>0.15</v>
      </c>
      <c r="C6" s="5"/>
    </row>
    <row r="7">
      <c r="A7" s="7" t="s">
        <v>7</v>
      </c>
      <c r="B7" s="7">
        <v>50.0</v>
      </c>
      <c r="C7" s="5"/>
    </row>
    <row r="8">
      <c r="A8" s="7" t="s">
        <v>8</v>
      </c>
      <c r="B8" s="7">
        <v>0.001</v>
      </c>
      <c r="C8" s="5"/>
    </row>
    <row r="9">
      <c r="A9" s="4" t="s">
        <v>9</v>
      </c>
      <c r="B9" s="6">
        <v>0.4</v>
      </c>
      <c r="C9" s="5"/>
    </row>
    <row r="10">
      <c r="A10" s="9"/>
      <c r="B10" s="10"/>
      <c r="C10" s="5"/>
    </row>
    <row r="11">
      <c r="A11" s="11" t="s">
        <v>10</v>
      </c>
      <c r="B11" s="11" t="s">
        <v>1</v>
      </c>
      <c r="C11" s="5"/>
    </row>
    <row r="12">
      <c r="A12" s="4" t="s">
        <v>11</v>
      </c>
      <c r="B12" s="4">
        <v>1.0</v>
      </c>
      <c r="C12" s="5"/>
    </row>
    <row r="13">
      <c r="A13" s="4" t="s">
        <v>12</v>
      </c>
      <c r="B13" s="4">
        <v>10000.0</v>
      </c>
      <c r="C13" s="5"/>
    </row>
    <row r="14">
      <c r="A14" s="4" t="s">
        <v>13</v>
      </c>
      <c r="B14" s="12">
        <v>0.075</v>
      </c>
      <c r="C14" s="5"/>
    </row>
    <row r="15">
      <c r="A15" s="4" t="s">
        <v>14</v>
      </c>
      <c r="B15" s="12">
        <v>0.075</v>
      </c>
      <c r="C15" s="5"/>
    </row>
    <row r="16">
      <c r="A16" s="5"/>
      <c r="B16" s="5"/>
      <c r="C16" s="5"/>
    </row>
    <row r="17">
      <c r="A17" s="13" t="s">
        <v>15</v>
      </c>
      <c r="B17" s="13" t="s">
        <v>1</v>
      </c>
      <c r="C17" s="13" t="s">
        <v>16</v>
      </c>
    </row>
    <row r="18">
      <c r="A18" s="4" t="s">
        <v>17</v>
      </c>
      <c r="B18" s="14">
        <f>B4*(1+B6)^B12*8760</f>
        <v>318338.4</v>
      </c>
      <c r="C18" s="15"/>
    </row>
    <row r="19">
      <c r="A19" s="4" t="s">
        <v>18</v>
      </c>
      <c r="B19" s="14">
        <f>B4*(1+B6)^B12*8760*1000*B5</f>
        <v>82767984</v>
      </c>
      <c r="C19" s="15"/>
    </row>
    <row r="20">
      <c r="A20" s="4" t="s">
        <v>19</v>
      </c>
      <c r="B20" s="14">
        <f>B4*(1+B6)^B12*8760*1000*B5-(B4*8760*1000*B5)</f>
        <v>10795824</v>
      </c>
      <c r="C20" s="3">
        <f>B20/B19</f>
        <v>0.1304347826</v>
      </c>
    </row>
    <row r="21">
      <c r="A21" s="4" t="s">
        <v>20</v>
      </c>
      <c r="B21" s="14">
        <f>B4*(1+B6)^B12*B14*8760*1000*B5</f>
        <v>6207598.8</v>
      </c>
      <c r="C21" s="3">
        <f>B21/B19</f>
        <v>0.075</v>
      </c>
    </row>
    <row r="22">
      <c r="A22" s="4" t="s">
        <v>21</v>
      </c>
      <c r="B22" s="14">
        <f>B21/(B19/B9)</f>
        <v>0.03</v>
      </c>
      <c r="C22" s="15"/>
    </row>
  </sheetData>
  <drawing r:id="rId1"/>
</worksheet>
</file>