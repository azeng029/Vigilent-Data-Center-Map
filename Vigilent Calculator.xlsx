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puts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Vigilent Sweet Spots Calculator" sheetId="3" state="visible" r:id="rId3"/>
    <sheet xmlns:r="http://schemas.openxmlformats.org/officeDocument/2006/relationships" name="Examples" sheetId="4" state="visible" r:id="rId4"/>
    <sheet xmlns:r="http://schemas.openxmlformats.org/officeDocument/2006/relationships" name="Sheet2" sheetId="5" state="visible" r:id="rId5"/>
    <sheet xmlns:r="http://schemas.openxmlformats.org/officeDocument/2006/relationships" name="Sheet3" sheetId="6" state="visible" r:id="rId6"/>
    <sheet xmlns:r="http://schemas.openxmlformats.org/officeDocument/2006/relationships" name="Vigilent Savings Calculator" sheetId="7" state="visible" r:id="rId7"/>
    <sheet xmlns:r="http://schemas.openxmlformats.org/officeDocument/2006/relationships" name="Vigilent Savings Calculator v1 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Arial"/>
      <color rgb="FF000000"/>
      <sz val="10"/>
      <scheme val="minor"/>
    </font>
    <font>
      <name val="Source Sans 3"/>
      <color rgb="FFFFFFFF"/>
    </font>
    <font>
      <name val="Source Sans 3"/>
      <color theme="1"/>
    </font>
    <font>
      <name val="Source Sans 3"/>
      <color rgb="FF000000"/>
    </font>
    <font>
      <name val="Source Sans 3"/>
      <color theme="0"/>
    </font>
    <font>
      <name val="Arial"/>
      <color theme="1"/>
      <scheme val="minor"/>
    </font>
    <font>
      <name val="Arial"/>
      <color rgb="FFFFFFFF"/>
      <scheme val="minor"/>
    </font>
    <font>
      <name val="&quot;Source Sans 3&quot;"/>
      <color rgb="FFFFFFFF"/>
    </font>
    <font>
      <name val="&quot;Source Sans 3&quot;"/>
      <color rgb="FF000000"/>
    </font>
    <font>
      <name val="Arial"/>
      <color rgb="FF000000"/>
    </font>
    <font>
      <name val="Arial"/>
      <color theme="1"/>
    </font>
    <font>
      <b val="1"/>
    </font>
    <font>
      <b val="1"/>
      <sz val="14"/>
    </font>
  </fonts>
  <fills count="7">
    <fill>
      <patternFill/>
    </fill>
    <fill>
      <patternFill patternType="lightGray"/>
    </fill>
    <fill>
      <patternFill patternType="solid">
        <fgColor rgb="FF1075E8"/>
        <bgColor rgb="FF1075E8"/>
      </patternFill>
    </fill>
    <fill>
      <patternFill patternType="solid">
        <fgColor rgb="FFD7DEF8"/>
        <bgColor rgb="FFD7DEF8"/>
      </patternFill>
    </fill>
    <fill>
      <patternFill patternType="solid">
        <fgColor theme="4"/>
        <bgColor theme="4"/>
      </patternFill>
    </fill>
    <fill>
      <patternFill patternType="solid">
        <fgColor rgb="FF4285F4"/>
        <bgColor rgb="FF4285F4"/>
      </patternFill>
    </fill>
    <fill>
      <patternFill patternType="solid">
        <fgColor rgb="00DDDDDD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62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0" borderId="0" pivotButton="0" quotePrefix="0" xfId="0"/>
    <xf numFmtId="0" fontId="2" fillId="0" borderId="1" pivotButton="0" quotePrefix="0" xfId="0"/>
    <xf numFmtId="0" fontId="2" fillId="0" borderId="1" pivotButton="0" quotePrefix="0" xfId="0"/>
    <xf numFmtId="0" fontId="2" fillId="0" borderId="0" pivotButton="0" quotePrefix="0" xfId="0"/>
    <xf numFmtId="9" fontId="2" fillId="0" borderId="1" pivotButton="0" quotePrefix="0" xfId="0"/>
    <xf numFmtId="0" fontId="2" fillId="3" borderId="1" pivotButton="0" quotePrefix="0" xfId="0"/>
    <xf numFmtId="0" fontId="3" fillId="3" borderId="1" applyAlignment="1" pivotButton="0" quotePrefix="0" xfId="0">
      <alignment horizontal="right" vertical="bottom"/>
    </xf>
    <xf numFmtId="0" fontId="2" fillId="0" borderId="0" pivotButton="0" quotePrefix="0" xfId="0"/>
    <xf numFmtId="10" fontId="2" fillId="0" borderId="0" pivotButton="0" quotePrefix="0" xfId="0"/>
    <xf numFmtId="0" fontId="4" fillId="4" borderId="1" pivotButton="0" quotePrefix="0" xfId="0"/>
    <xf numFmtId="10" fontId="2" fillId="0" borderId="1" pivotButton="0" quotePrefix="0" xfId="0"/>
    <xf numFmtId="0" fontId="1" fillId="4" borderId="1" pivotButton="0" quotePrefix="0" xfId="0"/>
    <xf numFmtId="0" fontId="2" fillId="0" borderId="1" pivotButton="0" quotePrefix="0" xfId="0"/>
    <xf numFmtId="0" fontId="2" fillId="3" borderId="1" pivotButton="0" quotePrefix="0" xfId="0"/>
    <xf numFmtId="0" fontId="1" fillId="5" borderId="1" applyAlignment="1" pivotButton="0" quotePrefix="0" xfId="0">
      <alignment vertical="bottom"/>
    </xf>
    <xf numFmtId="4" fontId="2" fillId="0" borderId="1" pivotButton="0" quotePrefix="0" xfId="0"/>
    <xf numFmtId="0" fontId="3" fillId="0" borderId="1" applyAlignment="1" pivotButton="0" quotePrefix="0" xfId="0">
      <alignment horizontal="right" vertical="bottom"/>
    </xf>
    <xf numFmtId="4" fontId="2" fillId="0" borderId="1" pivotButton="0" quotePrefix="0" xfId="0"/>
    <xf numFmtId="9" fontId="3" fillId="0" borderId="1" applyAlignment="1" pivotButton="0" quotePrefix="0" xfId="0">
      <alignment horizontal="right" vertical="bottom"/>
    </xf>
    <xf numFmtId="0" fontId="5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3" fillId="0" borderId="1" applyAlignment="1" pivotButton="0" quotePrefix="0" xfId="0">
      <alignment vertical="bottom"/>
    </xf>
    <xf numFmtId="0" fontId="3" fillId="3" borderId="1" applyAlignment="1" pivotButton="0" quotePrefix="0" xfId="0">
      <alignment vertical="bottom"/>
    </xf>
    <xf numFmtId="10" fontId="3" fillId="0" borderId="0" applyAlignment="1" pivotButton="0" quotePrefix="0" xfId="0">
      <alignment vertical="bottom"/>
    </xf>
    <xf numFmtId="10" fontId="3" fillId="0" borderId="1" applyAlignment="1" pivotButton="0" quotePrefix="0" xfId="0">
      <alignment horizontal="right" vertical="bottom"/>
    </xf>
    <xf numFmtId="0" fontId="3" fillId="3" borderId="1" applyAlignment="1" pivotButton="0" quotePrefix="0" xfId="0">
      <alignment vertical="bottom"/>
    </xf>
    <xf numFmtId="4" fontId="3" fillId="0" borderId="1" applyAlignment="1" pivotButton="0" quotePrefix="0" xfId="0">
      <alignment horizontal="right" vertical="bottom"/>
    </xf>
    <xf numFmtId="0" fontId="6" fillId="4" borderId="1" pivotButton="0" quotePrefix="0" xfId="0"/>
    <xf numFmtId="0" fontId="5" fillId="0" borderId="1" pivotButton="0" quotePrefix="0" xfId="0"/>
    <xf numFmtId="4" fontId="5" fillId="0" borderId="1" pivotButton="0" quotePrefix="0" xfId="0"/>
    <xf numFmtId="0" fontId="5" fillId="0" borderId="1" pivotButton="0" quotePrefix="0" xfId="0"/>
    <xf numFmtId="4" fontId="5" fillId="0" borderId="1" pivotButton="0" quotePrefix="0" xfId="0"/>
    <xf numFmtId="9" fontId="5" fillId="0" borderId="1" pivotButton="0" quotePrefix="0" xfId="0"/>
    <xf numFmtId="0" fontId="5" fillId="0" borderId="1" pivotButton="0" quotePrefix="0" xfId="0"/>
    <xf numFmtId="0" fontId="7" fillId="2" borderId="1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8" fillId="0" borderId="1" applyAlignment="1" pivotButton="0" quotePrefix="0" xfId="0">
      <alignment vertical="bottom"/>
    </xf>
    <xf numFmtId="0" fontId="8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9" fontId="8" fillId="0" borderId="1" applyAlignment="1" pivotButton="0" quotePrefix="0" xfId="0">
      <alignment horizontal="right" vertical="bottom"/>
    </xf>
    <xf numFmtId="0" fontId="8" fillId="3" borderId="1" applyAlignment="1" pivotButton="0" quotePrefix="0" xfId="0">
      <alignment vertical="bottom"/>
    </xf>
    <xf numFmtId="0" fontId="8" fillId="3" borderId="1" applyAlignment="1" pivotButton="0" quotePrefix="0" xfId="0">
      <alignment horizontal="right" vertical="bottom"/>
    </xf>
    <xf numFmtId="10" fontId="8" fillId="0" borderId="0" applyAlignment="1" pivotButton="0" quotePrefix="0" xfId="0">
      <alignment vertical="bottom"/>
    </xf>
    <xf numFmtId="0" fontId="7" fillId="5" borderId="1" applyAlignment="1" pivotButton="0" quotePrefix="0" xfId="0">
      <alignment vertical="bottom"/>
    </xf>
    <xf numFmtId="10" fontId="8" fillId="0" borderId="1" applyAlignment="1" pivotButton="0" quotePrefix="0" xfId="0">
      <alignment horizontal="right" vertical="bottom"/>
    </xf>
    <xf numFmtId="0" fontId="8" fillId="3" borderId="1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4" fontId="10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9" fontId="10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0" fontId="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0" fontId="11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>
                <a:solidFill>
                  <a:srgbClr val="1075E8"/>
                </a:solidFill>
                <a:latin typeface="sans-serif"/>
              </a:defRPr>
            </a:pPr>
            <a:r>
              <a:rPr b="1">
                <a:solidFill>
                  <a:srgbClr val="1075E8"/>
                </a:solidFill>
                <a:latin typeface="sans-serif"/>
              </a:rPr>
              <a:t>Composite Score Factor Weights</a:t>
            </a:r>
          </a:p>
        </rich>
      </tx>
      <overlay val="0"/>
    </title>
    <plotArea>
      <layout/>
      <doughnutChart>
        <varyColors val="1"/>
        <ser>
          <idx val="0"/>
          <order val="0"/>
          <tx>
            <strRef>
              <f>Sheet2!$F$24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B285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075E8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8B4F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D7DEF8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F0F3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Sheet2!$A$25:$A$29</f>
            </strRef>
          </cat>
          <val>
            <numRef>
              <f>Sheet2!$F$25:$F$29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50"/>
      </doughnut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sans-serif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>
                <a:solidFill>
                  <a:srgbClr val="1075E8"/>
                </a:solidFill>
                <a:latin typeface="sans-serif"/>
              </a:defRPr>
            </a:pPr>
            <a:r>
              <a:rPr b="1">
                <a:solidFill>
                  <a:srgbClr val="1075E8"/>
                </a:solidFill>
                <a:latin typeface="sans-serif"/>
              </a:rPr>
              <a:t>Composite Score Factor Weights</a:t>
            </a:r>
          </a:p>
        </rich>
      </tx>
      <overlay val="0"/>
    </title>
    <plotArea>
      <layout/>
      <doughnutChart>
        <varyColors val="1"/>
        <ser>
          <idx val="0"/>
          <order val="0"/>
          <tx>
            <strRef>
              <f>Sheet2!$F$24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B285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075E8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8B4F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D7DEF8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F0F3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Sheet2!$A$25:$A$29</f>
            </strRef>
          </cat>
          <val>
            <numRef>
              <f>Sheet2!$F$25:$F$29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50"/>
      </doughnut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sans-serif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>
                <a:solidFill>
                  <a:srgbClr val="1075E8"/>
                </a:solidFill>
                <a:latin typeface="sans-serif"/>
              </a:defRPr>
            </a:pPr>
            <a:r>
              <a:rPr b="1">
                <a:solidFill>
                  <a:srgbClr val="1075E8"/>
                </a:solidFill>
                <a:latin typeface="sans-serif"/>
              </a:rPr>
              <a:t>Composite Score Factor Weights</a:t>
            </a:r>
          </a:p>
        </rich>
      </tx>
      <overlay val="0"/>
    </title>
    <plotArea>
      <layout/>
      <doughnutChart>
        <varyColors val="1"/>
        <ser>
          <idx val="0"/>
          <order val="0"/>
          <tx>
            <strRef>
              <f>Sheet2!$F$24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B285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075E8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8B4F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D7DEF8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F0F3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Sheet2!$A$25:$A$29</f>
            </strRef>
          </cat>
          <val>
            <numRef>
              <f>Sheet2!$F$25:$F$29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50"/>
      </doughnut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sans-serif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Vigilent</author>
  </authors>
  <commentList>
    <comment ref="B4" authorId="0" shapeId="0">
      <text>
        <t>Total facility electrical draw = IT load × PUE</t>
      </text>
    </comment>
    <comment ref="B18" authorId="0" shapeId="0">
      <text>
        <t>Annual kWh = MW × 1000 × hours/yr × (1+growth)^years. FIX: was missing ×1000.</t>
      </text>
    </comment>
    <comment ref="B19" authorId="0" shapeId="0">
      <text>
        <t>Annual energy cost = kWh × $/kWh</t>
      </text>
    </comment>
    <comment ref="B20" authorId="0" shapeId="0">
      <text>
        <t>Cost growth from load expansion (year-over-baseline)</t>
      </text>
    </comment>
    <comment ref="B21" authorId="0" shapeId="0">
      <text>
        <t>Annual $ savings = annual cost × Vigilent energy reduction %</t>
      </text>
    </comment>
    <comment ref="B22" authorId="0" shapeId="0">
      <text>
        <t>% impact on OPEX = savings / total OPEX (where total OPEX = energy cost / energy share)</t>
      </text>
    </comment>
    <comment ref="B25" authorId="0" shapeId="0">
      <text>
        <t>$ savings per MW = annual savings ÷ DC MW. FIX: previously B21*B5 (wrong units).</t>
      </text>
    </comment>
    <comment ref="E25" authorId="0" shapeId="0">
      <text>
        <t>Normalized 0-100. (value - min)/(max - min) × 100</t>
      </text>
    </comment>
    <comment ref="B26" authorId="0" shapeId="0">
      <text>
        <t>Water savings % = Vigilent water reduction parameter</t>
      </text>
    </comment>
    <comment ref="B27" authorId="0" shapeId="0">
      <text>
        <t>% OPEX impact (same as B22)</t>
      </text>
    </comment>
    <comment ref="B28" authorId="0" shapeId="0">
      <text>
        <t>Payback period (yr) = investment ÷ annual savings</t>
      </text>
    </comment>
    <comment ref="E28" authorId="0" shapeId="0">
      <text>
        <t>INVERTED: lower payback = higher score. (1 - (v-min)/(max-min)) × 100</t>
      </text>
    </comment>
    <comment ref="B29" authorId="0" shapeId="0">
      <text>
        <t>Load growth pressure = annual IT load growth rate</t>
      </text>
    </comment>
    <comment ref="A32" authorId="0" shapeId="0">
      <text>
        <t>Composite = Σ (factor_score × weight). Weights sum to 1.0.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3</col>
      <colOff>523875</colOff>
      <row>3</row>
      <rowOff>190500</rowOff>
    </from>
    <ext cx="5715000" cy="3533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6</col>
      <colOff>942975</colOff>
      <row>14</row>
      <rowOff>114300</rowOff>
    </from>
    <ext cx="5715000" cy="3533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3.xml><?xml version="1.0" encoding="utf-8"?>
<wsDr xmlns="http://schemas.openxmlformats.org/drawingml/2006/spreadsheetDrawing">
  <oneCellAnchor>
    <from>
      <col>3</col>
      <colOff>152400</colOff>
      <row>0</row>
      <rowOff>0</rowOff>
    </from>
    <ext cx="5715000" cy="3533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2" customWidth="1" style="58" min="1" max="1"/>
    <col width="42" customWidth="1" style="58" min="5" max="5"/>
    <col width="38" customWidth="1" style="58" min="7" max="7"/>
  </cols>
  <sheetData>
    <row r="1">
      <c r="A1" s="59" t="inlineStr">
        <is>
          <t>Input</t>
        </is>
      </c>
      <c r="B1" s="59" t="inlineStr">
        <is>
          <t>Value</t>
        </is>
      </c>
      <c r="C1" s="59" t="inlineStr">
        <is>
          <t>Units</t>
        </is>
      </c>
      <c r="D1" s="59" t="inlineStr">
        <is>
          <t>Category</t>
        </is>
      </c>
      <c r="E1" s="59" t="inlineStr">
        <is>
          <t>Source</t>
        </is>
      </c>
      <c r="F1" s="59" t="inlineStr">
        <is>
          <t>Real/Estimated</t>
        </is>
      </c>
      <c r="G1" s="59" t="inlineStr">
        <is>
          <t>Notes</t>
        </is>
      </c>
    </row>
    <row r="2">
      <c r="A2" s="0" t="inlineStr">
        <is>
          <t>dc_size_mw</t>
        </is>
      </c>
      <c r="B2" s="0" t="n">
        <v>20</v>
      </c>
      <c r="C2" s="0" t="inlineStr">
        <is>
          <t>MW</t>
        </is>
      </c>
      <c r="D2" s="0" t="inlineStr">
        <is>
          <t>DC</t>
        </is>
      </c>
      <c r="E2" s="0" t="inlineStr">
        <is>
          <t>Vigilent DC database CSV → Size (MW)</t>
        </is>
      </c>
      <c r="F2" s="0" t="inlineStr">
        <is>
          <t>REAL</t>
        </is>
      </c>
      <c r="G2" s="0" t="inlineStr">
        <is>
          <t>Per data center</t>
        </is>
      </c>
    </row>
    <row r="3">
      <c r="A3" s="0" t="inlineStr">
        <is>
          <t>baseline_pue</t>
        </is>
      </c>
      <c r="B3" s="0" t="n">
        <v>1.55</v>
      </c>
      <c r="C3" s="0" t="inlineStr">
        <is>
          <t>ratio</t>
        </is>
      </c>
      <c r="D3" s="0" t="inlineStr">
        <is>
          <t>DC</t>
        </is>
      </c>
      <c r="E3" s="0" t="inlineStr">
        <is>
          <t>Uptime Institute 2023 global average</t>
        </is>
      </c>
      <c r="F3" s="0" t="inlineStr">
        <is>
          <t>ESTIMATED</t>
        </is>
      </c>
      <c r="G3" s="0" t="inlineStr">
        <is>
          <t>Used as default; operators rarely publish</t>
        </is>
      </c>
    </row>
    <row r="4">
      <c r="A4" s="0" t="inlineStr">
        <is>
          <t>electricity_price</t>
        </is>
      </c>
      <c r="B4" s="0" t="n">
        <v>0.1</v>
      </c>
      <c r="C4" s="0" t="inlineStr">
        <is>
          <t>$/kWh</t>
        </is>
      </c>
      <c r="D4" s="0" t="inlineStr">
        <is>
          <t>DC</t>
        </is>
      </c>
      <c r="E4" s="0" t="inlineStr">
        <is>
          <t>EIA state commercial rates</t>
        </is>
      </c>
      <c r="F4" s="0" t="inlineStr">
        <is>
          <t>REAL</t>
        </is>
      </c>
      <c r="G4" s="0" t="inlineStr">
        <is>
          <t>State average; per-site tariff would be better</t>
        </is>
      </c>
    </row>
    <row r="5">
      <c r="A5" s="0" t="inlineStr">
        <is>
          <t>load_growth_rate</t>
        </is>
      </c>
      <c r="B5" s="0" t="n">
        <v>0.1</v>
      </c>
      <c r="C5" s="0" t="inlineStr">
        <is>
          <t>frac/yr</t>
        </is>
      </c>
      <c r="D5" s="0" t="inlineStr">
        <is>
          <t>DC</t>
        </is>
      </c>
      <c r="E5" s="0" t="inlineStr">
        <is>
          <t>Industry consensus (~10%)</t>
        </is>
      </c>
      <c r="F5" s="0" t="inlineStr">
        <is>
          <t>ESTIMATED</t>
        </is>
      </c>
      <c r="G5" s="0" t="inlineStr"/>
    </row>
    <row r="6">
      <c r="A6" t="inlineStr">
        <is>
          <t>capacity_factor</t>
        </is>
      </c>
      <c r="B6" t="n">
        <v>0.7</v>
      </c>
      <c r="C6" t="inlineStr">
        <is>
          <t>frac</t>
        </is>
      </c>
      <c r="D6" t="inlineStr">
        <is>
          <t>DC</t>
        </is>
      </c>
      <c r="E6" t="inlineStr">
        <is>
          <t>Uptime Institute / IDC avg IT load utilization (downtime, maintenance, redundancy headroom, ramp)</t>
        </is>
      </c>
      <c r="F6" t="inlineStr">
        <is>
          <t>ESTIMATED</t>
        </is>
      </c>
    </row>
    <row r="7">
      <c r="A7" s="0" t="inlineStr">
        <is>
          <t>energy_pct_opex</t>
        </is>
      </c>
      <c r="B7" s="0" t="n">
        <v>0.4</v>
      </c>
      <c r="C7" s="0" t="inlineStr">
        <is>
          <t>frac</t>
        </is>
      </c>
      <c r="D7" s="0" t="inlineStr">
        <is>
          <t>DC</t>
        </is>
      </c>
      <c r="E7" s="0" t="inlineStr">
        <is>
          <t>Operator-tier benchmark (Uptime Institute / JLL): hyperscale 0.32, wholesale-colo 0.40, enterprise 0.48 — see operator_tiers.py</t>
        </is>
      </c>
      <c r="F7" s="0" t="inlineStr">
        <is>
          <t>OPERATOR_TIER_LOOKUP</t>
        </is>
      </c>
      <c r="G7" s="0" t="inlineStr"/>
    </row>
    <row r="8">
      <c r="A8" s="0" t="inlineStr">
        <is>
          <t>num_years</t>
        </is>
      </c>
      <c r="B8" s="0" t="n">
        <v>1</v>
      </c>
      <c r="C8" s="0" t="inlineStr">
        <is>
          <t>yr</t>
        </is>
      </c>
      <c r="D8" s="0" t="inlineStr">
        <is>
          <t>Vigilent</t>
        </is>
      </c>
      <c r="E8" s="0" t="inlineStr">
        <is>
          <t>Analysis horizon</t>
        </is>
      </c>
      <c r="F8" s="0" t="inlineStr">
        <is>
          <t>PARAM</t>
        </is>
      </c>
      <c r="G8" s="0" t="inlineStr"/>
    </row>
    <row r="9">
      <c r="A9" s="0" t="inlineStr">
        <is>
          <t>investment_cost</t>
        </is>
      </c>
      <c r="B9" s="0" t="n">
        <v>1500000</v>
      </c>
      <c r="C9" s="0" t="inlineStr">
        <is>
          <t>$</t>
        </is>
      </c>
      <c r="D9" s="0" t="inlineStr">
        <is>
          <t>Vigilent</t>
        </is>
      </c>
      <c r="E9" s="0" t="inlineStr">
        <is>
          <t>Vigilent standard offering</t>
        </is>
      </c>
      <c r="F9" s="0" t="inlineStr">
        <is>
          <t>PARAM</t>
        </is>
      </c>
      <c r="G9" s="0" t="inlineStr"/>
    </row>
    <row r="10">
      <c r="A10" s="0" t="inlineStr">
        <is>
          <t>energy_reduction_pct</t>
        </is>
      </c>
      <c r="B10" s="0" t="n">
        <v>0.1</v>
      </c>
      <c r="C10" s="0" t="inlineStr">
        <is>
          <t>frac</t>
        </is>
      </c>
      <c r="D10" s="0" t="inlineStr">
        <is>
          <t>Vigilent</t>
        </is>
      </c>
      <c r="E10" s="0" t="inlineStr">
        <is>
          <t>Vigilent standard (10%)</t>
        </is>
      </c>
      <c r="F10" s="0" t="inlineStr">
        <is>
          <t>PARAM</t>
        </is>
      </c>
      <c r="G10" s="0" t="inlineStr"/>
    </row>
    <row r="11">
      <c r="A11" s="0" t="inlineStr">
        <is>
          <t>water_reduction_pct</t>
        </is>
      </c>
      <c r="B11" s="0" t="n">
        <v>0.05</v>
      </c>
      <c r="C11" s="0" t="inlineStr">
        <is>
          <t>frac</t>
        </is>
      </c>
      <c r="D11" s="0" t="inlineStr">
        <is>
          <t>Vigilent</t>
        </is>
      </c>
      <c r="E11" s="0" t="inlineStr">
        <is>
          <t>Vigilent standard (5%)</t>
        </is>
      </c>
      <c r="F11" s="0" t="inlineStr">
        <is>
          <t>PARAM</t>
        </is>
      </c>
      <c r="G11" s="0" t="inlineStr"/>
    </row>
    <row r="13">
      <c r="A13" s="61" t="inlineStr">
        <is>
          <t>OPERATOR TIER → energy_pct_opex</t>
        </is>
      </c>
    </row>
    <row r="14">
      <c r="A14" t="inlineStr">
        <is>
          <t>HYPERSCALE</t>
        </is>
      </c>
      <c r="B14" t="n">
        <v>0.32</v>
      </c>
      <c r="E14" t="inlineStr">
        <is>
          <t>AWS, Google, Microsoft, Meta, Oracle, Apple</t>
        </is>
      </c>
    </row>
    <row r="15">
      <c r="A15" t="inlineStr">
        <is>
          <t>WHOLESALE_COLO</t>
        </is>
      </c>
      <c r="B15" t="n">
        <v>0.4</v>
      </c>
      <c r="E15" t="inlineStr">
        <is>
          <t>Digital Realty, Equinix, NTT, CyrusOne, QTS, Iron Mountain, Vantage, Cologix, ST Telemedia (default for unmatched)</t>
        </is>
      </c>
    </row>
    <row r="16">
      <c r="A16" t="inlineStr">
        <is>
          <t>ENTERPRISE</t>
        </is>
      </c>
      <c r="B16" t="n">
        <v>0.48</v>
      </c>
      <c r="E16" t="inlineStr">
        <is>
          <t>C Spire, TRG, Flexential, Conapto, Datum, Sabey, smaller named ops</t>
        </is>
      </c>
    </row>
    <row r="18">
      <c r="A18" s="61" t="inlineStr">
        <is>
          <t>CAPACITY_FACTOR rationale</t>
        </is>
      </c>
    </row>
    <row r="19">
      <c r="E19" t="inlineStr">
        <is>
          <t>Prior versions assumed CF=1.0 (8760 hr/yr full uptime). Real DCs run ~70% avg due to scheduled maintenance, redundancy headroom, growth ramp, and underutilized rack space. Annual energy = MW × PUE × 1000 × 8760 × CF × (1 + load_growth).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6" customWidth="1" style="58" min="1" max="1"/>
    <col width="50" customWidth="1" style="58" min="2" max="2"/>
  </cols>
  <sheetData>
    <row r="1">
      <c r="A1" s="60" t="inlineStr">
        <is>
          <t>Vigilent Composite Score — Methodology</t>
        </is>
      </c>
    </row>
    <row r="3">
      <c r="A3" s="0" t="inlineStr">
        <is>
          <t>Composite = Σ (factor_score × weight). Each factor normalized 0-100.</t>
        </is>
      </c>
    </row>
    <row r="5">
      <c r="A5" s="59" t="inlineStr">
        <is>
          <t>Factor</t>
        </is>
      </c>
      <c r="B5" s="59" t="inlineStr">
        <is>
          <t>Formula</t>
        </is>
      </c>
      <c r="C5" s="59" t="inlineStr">
        <is>
          <t>Weight</t>
        </is>
      </c>
      <c r="D5" s="59" t="inlineStr">
        <is>
          <t>Min</t>
        </is>
      </c>
      <c r="E5" s="59" t="inlineStr">
        <is>
          <t>Max</t>
        </is>
      </c>
      <c r="F5" s="59" t="inlineStr">
        <is>
          <t>Direction</t>
        </is>
      </c>
    </row>
    <row r="6">
      <c r="A6" s="0" t="inlineStr">
        <is>
          <t>$ Savings per MW</t>
        </is>
      </c>
      <c r="B6" s="0" t="inlineStr">
        <is>
          <t>savings / dc_size_mw</t>
        </is>
      </c>
      <c r="C6" s="0" t="n">
        <v>0.35</v>
      </c>
      <c r="D6" s="0" t="n">
        <v>0</v>
      </c>
      <c r="E6" s="0" t="n">
        <v>300000</v>
      </c>
      <c r="F6" s="0" t="inlineStr">
        <is>
          <t>higher = better</t>
        </is>
      </c>
    </row>
    <row r="7">
      <c r="A7" s="0" t="inlineStr">
        <is>
          <t>% Water Savings</t>
        </is>
      </c>
      <c r="B7" s="0" t="inlineStr">
        <is>
          <t>water_reduction_pct</t>
        </is>
      </c>
      <c r="C7" s="0" t="n">
        <v>0.1</v>
      </c>
      <c r="D7" s="0" t="n">
        <v>0</v>
      </c>
      <c r="E7" s="0" t="n">
        <v>0.08</v>
      </c>
      <c r="F7" s="0" t="inlineStr">
        <is>
          <t>higher = better</t>
        </is>
      </c>
    </row>
    <row r="8">
      <c r="A8" s="0" t="inlineStr">
        <is>
          <t>% OPEX Impact</t>
        </is>
      </c>
      <c r="B8" s="0" t="inlineStr">
        <is>
          <t>energy_reduction_pct × energy_pct_opex</t>
        </is>
      </c>
      <c r="C8" s="0" t="n">
        <v>0.2</v>
      </c>
      <c r="D8" s="0" t="n">
        <v>0</v>
      </c>
      <c r="E8" s="0" t="n">
        <v>0.1</v>
      </c>
      <c r="F8" s="0" t="inlineStr">
        <is>
          <t>higher = better</t>
        </is>
      </c>
    </row>
    <row r="9">
      <c r="A9" s="0" t="inlineStr">
        <is>
          <t>Payback Period</t>
        </is>
      </c>
      <c r="B9" s="0" t="inlineStr">
        <is>
          <t>investment_cost / savings</t>
        </is>
      </c>
      <c r="C9" s="0" t="n">
        <v>0.25</v>
      </c>
      <c r="D9" s="0" t="n">
        <v>0</v>
      </c>
      <c r="E9" s="0" t="n">
        <v>5</v>
      </c>
      <c r="F9" s="0" t="inlineStr">
        <is>
          <t>INVERTED (lower = better)</t>
        </is>
      </c>
    </row>
    <row r="10">
      <c r="A10" s="0" t="inlineStr">
        <is>
          <t>Load Growth</t>
        </is>
      </c>
      <c r="B10" s="0" t="inlineStr">
        <is>
          <t>load_growth_rate</t>
        </is>
      </c>
      <c r="C10" s="0" t="n">
        <v>0.1</v>
      </c>
      <c r="D10" s="0" t="n">
        <v>0</v>
      </c>
      <c r="E10" s="0" t="n">
        <v>0.15</v>
      </c>
      <c r="F10" s="0" t="inlineStr">
        <is>
          <t>higher = better</t>
        </is>
      </c>
    </row>
    <row r="12">
      <c r="A12" s="0" t="inlineStr">
        <is>
          <t>Underlying derivations:</t>
        </is>
      </c>
    </row>
    <row r="13">
      <c r="A13" s="0" t="inlineStr">
        <is>
          <t xml:space="preserve">  total_mw</t>
        </is>
      </c>
      <c r="B13" s="0">
        <f> dc_size_mw × baseline_pue</f>
        <v/>
      </c>
    </row>
    <row r="14">
      <c r="A14" s="0" t="inlineStr">
        <is>
          <t xml:space="preserve">  annual_energy_kwh</t>
        </is>
      </c>
      <c r="B14" s="0">
        <f> total_mw × 1000 × 8760 × (1+load_growth)</f>
        <v/>
      </c>
    </row>
    <row r="15">
      <c r="A15" s="0" t="inlineStr">
        <is>
          <t xml:space="preserve">  annual_energy_cost</t>
        </is>
      </c>
      <c r="B15" s="0">
        <f> annual_energy_kwh × electricity_price</f>
        <v/>
      </c>
    </row>
    <row r="16">
      <c r="A16" s="0" t="inlineStr">
        <is>
          <t xml:space="preserve">  estimated_savings</t>
        </is>
      </c>
      <c r="B16" s="0">
        <f> annual_energy_cost × energy_reduction_pct</f>
        <v/>
      </c>
    </row>
    <row r="18">
      <c r="A18" s="0" t="inlineStr">
        <is>
          <t>Source of truth: vigilent_engine.py :: compute_score()</t>
        </is>
      </c>
    </row>
    <row r="19">
      <c r="A19" s="0" t="inlineStr">
        <is>
          <t>Audit doc: audit/calculation_audit.md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32"/>
  <sheetViews>
    <sheetView workbookViewId="0">
      <selection activeCell="A1" sqref="A1"/>
    </sheetView>
  </sheetViews>
  <sheetFormatPr baseColWidth="8" defaultColWidth="12.63" defaultRowHeight="15.75" customHeight="1"/>
  <cols>
    <col width="38.75" customWidth="1" style="58" min="1" max="1"/>
    <col width="12.88" customWidth="1" style="58" min="3" max="3"/>
    <col width="15.88" customWidth="1" style="58" min="5" max="5"/>
  </cols>
  <sheetData>
    <row r="1">
      <c r="A1" s="1" t="inlineStr">
        <is>
          <t>Target Data Center Input</t>
        </is>
      </c>
      <c r="B1" s="1" t="inlineStr">
        <is>
          <t>Value</t>
        </is>
      </c>
      <c r="C1" s="9" t="n"/>
    </row>
    <row r="2">
      <c r="A2" s="14" t="inlineStr">
        <is>
          <t>Data Center Size (MW)</t>
        </is>
      </c>
      <c r="B2" s="14" t="n">
        <v>20</v>
      </c>
      <c r="C2" s="9" t="n"/>
    </row>
    <row r="3">
      <c r="A3" s="14" t="inlineStr">
        <is>
          <t>Baseline PUE (Ratio)</t>
        </is>
      </c>
      <c r="B3" s="14" t="n">
        <v>1.58</v>
      </c>
      <c r="C3" s="9" t="n"/>
    </row>
    <row r="4">
      <c r="A4" s="14" t="inlineStr">
        <is>
          <t>Total Electricity Usage (MW)</t>
        </is>
      </c>
      <c r="B4" s="14">
        <f>B2*B3</f>
        <v/>
      </c>
      <c r="C4" s="9" t="n"/>
    </row>
    <row r="5">
      <c r="A5" s="14" t="inlineStr">
        <is>
          <t>Electricity Price ($/kWh)</t>
        </is>
      </c>
      <c r="B5" s="14" t="n">
        <v>0.1</v>
      </c>
    </row>
    <row r="6">
      <c r="A6" s="14" t="inlineStr">
        <is>
          <t>Annual IT Load Growth Rate (%)</t>
        </is>
      </c>
      <c r="B6" s="6" t="n">
        <v>0.08</v>
      </c>
      <c r="C6" s="9" t="n"/>
    </row>
    <row r="7">
      <c r="A7" s="15" t="inlineStr">
        <is>
          <t>Annual Site Water Usage (L)</t>
        </is>
      </c>
      <c r="B7" s="8" t="n">
        <v>315000000</v>
      </c>
      <c r="C7" s="9" t="n"/>
    </row>
    <row r="8">
      <c r="A8" s="15" t="inlineStr">
        <is>
          <t>Water Cost per Liter ($)</t>
        </is>
      </c>
      <c r="B8" s="8" t="n">
        <v>0.003</v>
      </c>
      <c r="C8" s="9" t="n"/>
    </row>
    <row r="9">
      <c r="A9" s="14" t="inlineStr">
        <is>
          <t>Energy % of Operational Expenditure (OPEX) (%)</t>
        </is>
      </c>
      <c r="B9" s="6" t="n">
        <v>0.4</v>
      </c>
      <c r="C9" s="9" t="n"/>
    </row>
    <row r="10">
      <c r="A10" s="9" t="n"/>
      <c r="B10" s="10" t="n"/>
      <c r="C10" s="9" t="n"/>
    </row>
    <row r="11">
      <c r="A11" s="11" t="inlineStr">
        <is>
          <t>Vigilent Parameters Input</t>
        </is>
      </c>
      <c r="B11" s="11" t="inlineStr">
        <is>
          <t>Value</t>
        </is>
      </c>
      <c r="C11" s="9" t="n"/>
    </row>
    <row r="12">
      <c r="A12" s="14" t="inlineStr">
        <is>
          <t>Number of Years (int)</t>
        </is>
      </c>
      <c r="B12" s="14" t="n">
        <v>1</v>
      </c>
      <c r="C12" s="9" t="n"/>
    </row>
    <row r="13">
      <c r="A13" s="14" t="inlineStr">
        <is>
          <t>Vigilent Investment Cost ($)</t>
        </is>
      </c>
      <c r="B13" s="14" t="n">
        <v>1500000</v>
      </c>
      <c r="C13" s="9" t="n"/>
    </row>
    <row r="14">
      <c r="A14" s="14" t="inlineStr">
        <is>
          <t>Estimated Energy Reduction w/ Vigilent (%)</t>
        </is>
      </c>
      <c r="B14" s="12" t="n">
        <v>0.075</v>
      </c>
      <c r="C14" s="9" t="n"/>
    </row>
    <row r="15">
      <c r="A15" s="14" t="inlineStr">
        <is>
          <t>Estimated Water Reduction w/ Vigilent (%)</t>
        </is>
      </c>
      <c r="B15" s="12" t="n">
        <v>0.04</v>
      </c>
      <c r="C15" s="9" t="n"/>
    </row>
    <row r="16">
      <c r="A16" s="9" t="n"/>
      <c r="B16" s="9" t="n"/>
      <c r="C16" s="9" t="n"/>
    </row>
    <row r="17">
      <c r="A17" s="13" t="inlineStr">
        <is>
          <t>Output:</t>
        </is>
      </c>
      <c r="B17" s="13" t="inlineStr">
        <is>
          <t>Value</t>
        </is>
      </c>
      <c r="C17" s="13" t="inlineStr">
        <is>
          <t>Percentage</t>
        </is>
      </c>
    </row>
    <row r="18">
      <c r="A18" s="14" t="inlineStr">
        <is>
          <t>Annual energy consumption (kWh)</t>
        </is>
      </c>
      <c r="B18" s="14">
        <f>B4*(1+B6)^B12*8760*1000</f>
        <v/>
      </c>
      <c r="C18" s="15" t="n"/>
    </row>
    <row r="19">
      <c r="A19" s="14" t="inlineStr">
        <is>
          <t>Annual energy cost ($)</t>
        </is>
      </c>
      <c r="B19" s="14">
        <f>B4*(1+B6)^B12*8760*1000*B5</f>
        <v/>
      </c>
      <c r="C19" s="15" t="n"/>
    </row>
    <row r="20">
      <c r="A20" s="14" t="inlineStr">
        <is>
          <t>Projected cost growth under load expansion ($) (%)</t>
        </is>
      </c>
      <c r="B20" s="14">
        <f>B4*(1+B6)^B12*8760*1000*B5-(B4*8760*1000*B5)</f>
        <v/>
      </c>
      <c r="C20" s="14">
        <f>B20/B19</f>
        <v/>
      </c>
    </row>
    <row r="21">
      <c r="A21" s="14" t="inlineStr">
        <is>
          <t>Estimated savings w/ energy reduction ($) (%)</t>
        </is>
      </c>
      <c r="B21" s="14">
        <f>B4*(1+B6)^B12*B14*8760*1000*B5</f>
        <v/>
      </c>
      <c r="C21" s="14">
        <f>B21/B19</f>
        <v/>
      </c>
    </row>
    <row r="22">
      <c r="A22" s="14" t="inlineStr">
        <is>
          <t>% impact on total operating costs (%)</t>
        </is>
      </c>
      <c r="B22" s="14">
        <f>B21/(B19/B9)</f>
        <v/>
      </c>
      <c r="C22" s="15" t="n"/>
    </row>
    <row r="24">
      <c r="A24" s="13" t="inlineStr">
        <is>
          <t>Factor</t>
        </is>
      </c>
      <c r="B24" s="13" t="inlineStr">
        <is>
          <t>Value</t>
        </is>
      </c>
      <c r="C24" s="16" t="inlineStr">
        <is>
          <t>Min Threshold</t>
        </is>
      </c>
      <c r="D24" s="16" t="inlineStr">
        <is>
          <t>Max Threshold</t>
        </is>
      </c>
      <c r="E24" s="13" t="inlineStr">
        <is>
          <t>Composite Score</t>
        </is>
      </c>
      <c r="F24" s="16" t="inlineStr">
        <is>
          <t>Weight</t>
        </is>
      </c>
    </row>
    <row r="25">
      <c r="A25" s="14" t="inlineStr">
        <is>
          <t>$ savings per MW</t>
        </is>
      </c>
      <c r="B25" s="19">
        <f>B21/B2</f>
        <v/>
      </c>
      <c r="C25" s="18" t="n">
        <v>0</v>
      </c>
      <c r="D25" s="18" t="n">
        <v>300000</v>
      </c>
      <c r="E25" s="19">
        <f>(B25-C25)/(D25-C25)*100</f>
        <v/>
      </c>
      <c r="F25" s="20" t="n">
        <v>0.35</v>
      </c>
    </row>
    <row r="26">
      <c r="A26" s="14" t="inlineStr">
        <is>
          <t>% savings of Water Usage</t>
        </is>
      </c>
      <c r="B26" s="19">
        <f>B15</f>
        <v/>
      </c>
      <c r="C26" s="18" t="n">
        <v>0</v>
      </c>
      <c r="D26" s="18" t="n">
        <v>0.08</v>
      </c>
      <c r="E26" s="19">
        <f>(B26-C26)/(D26-C26)*100</f>
        <v/>
      </c>
      <c r="F26" s="20" t="n">
        <v>0.1</v>
      </c>
    </row>
    <row r="27">
      <c r="A27" s="14" t="inlineStr">
        <is>
          <t>% impact on total operating costs (%)</t>
        </is>
      </c>
      <c r="B27" s="19">
        <f>B21/(B19/B9)</f>
        <v/>
      </c>
      <c r="C27" s="18" t="n">
        <v>0</v>
      </c>
      <c r="D27" s="18" t="n">
        <v>0.1</v>
      </c>
      <c r="E27" s="19">
        <f>(B27-C27)/(D27-C27)*100</f>
        <v/>
      </c>
      <c r="F27" s="20" t="n">
        <v>0.2</v>
      </c>
    </row>
    <row r="28">
      <c r="A28" s="14" t="inlineStr">
        <is>
          <t>Payback period</t>
        </is>
      </c>
      <c r="B28" s="19">
        <f>B13/B21</f>
        <v/>
      </c>
      <c r="C28" s="18" t="n">
        <v>0</v>
      </c>
      <c r="D28" s="18" t="n">
        <v>5</v>
      </c>
      <c r="E28" s="19">
        <f>(1-(B28-C28)/(D28-C28))*100</f>
        <v/>
      </c>
      <c r="F28" s="20" t="n">
        <v>0.25</v>
      </c>
    </row>
    <row r="29">
      <c r="A29" s="14" t="inlineStr">
        <is>
          <t>Load Growth (Pressure)</t>
        </is>
      </c>
      <c r="B29" s="19">
        <f>B6</f>
        <v/>
      </c>
      <c r="C29" s="18" t="n">
        <v>0</v>
      </c>
      <c r="D29" s="18" t="n">
        <v>0.15</v>
      </c>
      <c r="E29" s="19">
        <f>(B29-C29)/(D29-C29)*100</f>
        <v/>
      </c>
      <c r="F29" s="20" t="n">
        <v>0.1</v>
      </c>
    </row>
    <row r="31">
      <c r="A31" s="13" t="inlineStr">
        <is>
          <t>Total Score (out of 100)</t>
        </is>
      </c>
    </row>
    <row r="32">
      <c r="A32" s="14">
        <f>E25*F25+E26*F26+E27*F27+E28*F28+E29*F29</f>
        <v/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J32"/>
  <sheetViews>
    <sheetView workbookViewId="0">
      <selection activeCell="A1" sqref="A1"/>
    </sheetView>
  </sheetViews>
  <sheetFormatPr baseColWidth="8" defaultColWidth="12.63" defaultRowHeight="15.75" customHeight="1"/>
  <cols>
    <col width="38.75" customWidth="1" style="58" min="1" max="1"/>
    <col width="12.88" customWidth="1" style="58" min="3" max="3"/>
    <col width="15.88" customWidth="1" style="58" min="5" max="5"/>
  </cols>
  <sheetData>
    <row r="1">
      <c r="A1" s="1" t="inlineStr">
        <is>
          <t>Target Data Center Input</t>
        </is>
      </c>
      <c r="B1" s="1" t="inlineStr">
        <is>
          <t>Value</t>
        </is>
      </c>
      <c r="C1" s="9" t="n"/>
      <c r="F1" s="22" t="inlineStr">
        <is>
          <t>Elec Price</t>
        </is>
      </c>
    </row>
    <row r="2">
      <c r="A2" s="14" t="inlineStr">
        <is>
          <t>Data Center Size (MW)</t>
        </is>
      </c>
      <c r="B2" s="14" t="n">
        <v>16</v>
      </c>
      <c r="C2" s="9" t="n"/>
      <c r="D2" s="22">
        <f>E25*F25+E26*F26+E27*F27+E28*F28+E29*F29</f>
        <v/>
      </c>
      <c r="F2" s="22" t="n">
        <v>0.08</v>
      </c>
      <c r="G2" s="22" t="n">
        <v>0.09</v>
      </c>
      <c r="H2" s="22" t="n">
        <v>0.1</v>
      </c>
      <c r="I2" s="22" t="n">
        <v>0.11</v>
      </c>
      <c r="J2" s="22" t="n">
        <v>0.12</v>
      </c>
    </row>
    <row r="3">
      <c r="A3" s="14" t="inlineStr">
        <is>
          <t>Baseline PUE (Ratio)</t>
        </is>
      </c>
      <c r="B3" s="14" t="n">
        <v>1.58</v>
      </c>
      <c r="C3" s="9" t="n"/>
      <c r="D3" s="22" t="inlineStr">
        <is>
          <t>Data Center Size</t>
        </is>
      </c>
      <c r="E3" s="22" t="n">
        <v>24</v>
      </c>
      <c r="F3" s="22" t="n">
        <v>62.3</v>
      </c>
      <c r="G3" s="22" t="n">
        <v>68</v>
      </c>
      <c r="H3" s="22" t="n">
        <v>74.3</v>
      </c>
      <c r="I3" s="22" t="n">
        <v>81.2</v>
      </c>
      <c r="J3" s="22" t="n">
        <v>88.59999999999999</v>
      </c>
    </row>
    <row r="4">
      <c r="A4" s="14" t="inlineStr">
        <is>
          <t>Total Electricity Usage (MW)</t>
        </is>
      </c>
      <c r="B4" s="14">
        <f>B2*B3</f>
        <v/>
      </c>
      <c r="C4" s="9" t="n"/>
      <c r="E4" s="22" t="n">
        <v>22</v>
      </c>
      <c r="F4" s="22" t="n">
        <v>60.3</v>
      </c>
      <c r="G4" s="22" t="n">
        <v>65.59999999999999</v>
      </c>
      <c r="H4" s="22" t="n">
        <v>71.40000000000001</v>
      </c>
      <c r="I4" s="22" t="n">
        <v>77.8</v>
      </c>
      <c r="J4" s="22" t="n">
        <v>84.59999999999999</v>
      </c>
    </row>
    <row r="5">
      <c r="A5" s="14" t="inlineStr">
        <is>
          <t>Electricity Price ($/kWh)</t>
        </is>
      </c>
      <c r="B5" s="14" t="n">
        <v>0.12</v>
      </c>
      <c r="C5" s="9" t="n"/>
      <c r="E5" s="22" t="n">
        <v>20</v>
      </c>
      <c r="F5" s="22" t="n">
        <v>58.3</v>
      </c>
      <c r="G5" s="22" t="n">
        <v>63.2</v>
      </c>
      <c r="H5" s="22" t="n">
        <v>68.5</v>
      </c>
      <c r="I5" s="22" t="n">
        <v>74.3</v>
      </c>
      <c r="J5" s="22" t="n">
        <v>80.59999999999999</v>
      </c>
    </row>
    <row r="6">
      <c r="A6" s="14" t="inlineStr">
        <is>
          <t>Annual IT Load Growth Rate (%)</t>
        </is>
      </c>
      <c r="B6" s="6" t="n">
        <v>0.08</v>
      </c>
      <c r="C6" s="9" t="n"/>
      <c r="E6" s="22" t="n">
        <v>18</v>
      </c>
      <c r="F6" s="22" t="n">
        <v>56.1</v>
      </c>
      <c r="G6" s="22" t="n">
        <v>60.6</v>
      </c>
      <c r="H6" s="22" t="n">
        <v>65.5</v>
      </c>
      <c r="I6" s="22" t="n">
        <v>70.8</v>
      </c>
      <c r="J6" s="22" t="n">
        <v>76.5</v>
      </c>
    </row>
    <row r="7">
      <c r="A7" s="15" t="inlineStr">
        <is>
          <t>Annual Site Water Usage (L)</t>
        </is>
      </c>
      <c r="B7" s="8" t="n">
        <v>315000000</v>
      </c>
      <c r="C7" s="9" t="n"/>
      <c r="E7" s="22" t="n">
        <v>16</v>
      </c>
      <c r="F7" s="22" t="n">
        <v>53.9</v>
      </c>
      <c r="G7" s="22" t="n">
        <v>58</v>
      </c>
      <c r="H7" s="22" t="n">
        <v>62.5</v>
      </c>
      <c r="I7" s="22" t="n">
        <v>67.2</v>
      </c>
      <c r="J7" s="22" t="n">
        <v>72.40000000000001</v>
      </c>
    </row>
    <row r="8">
      <c r="A8" s="15" t="inlineStr">
        <is>
          <t>Water Cost per Liter ($)</t>
        </is>
      </c>
      <c r="B8" s="8" t="n">
        <v>0.003</v>
      </c>
      <c r="C8" s="9" t="n"/>
      <c r="E8" s="22" t="n"/>
    </row>
    <row r="9">
      <c r="A9" s="14" t="inlineStr">
        <is>
          <t>Energy % of Operational Expenditure (OPEX) (%)</t>
        </is>
      </c>
      <c r="B9" s="6" t="n">
        <v>0.4</v>
      </c>
      <c r="C9" s="9" t="n"/>
    </row>
    <row r="10">
      <c r="A10" s="9" t="n"/>
      <c r="B10" s="10" t="n"/>
      <c r="C10" s="9" t="n"/>
    </row>
    <row r="11">
      <c r="A11" s="11" t="inlineStr">
        <is>
          <t>Vigilent Parameters Input</t>
        </is>
      </c>
      <c r="B11" s="11" t="inlineStr">
        <is>
          <t>Value</t>
        </is>
      </c>
      <c r="C11" s="9" t="n"/>
    </row>
    <row r="12">
      <c r="A12" s="14" t="inlineStr">
        <is>
          <t>Number of Years (int)</t>
        </is>
      </c>
      <c r="B12" s="14" t="n">
        <v>1</v>
      </c>
      <c r="C12" s="9" t="n"/>
    </row>
    <row r="13">
      <c r="A13" s="14" t="inlineStr">
        <is>
          <t>Vigilent Investment Cost ($)</t>
        </is>
      </c>
      <c r="B13" s="14" t="n">
        <v>1500000</v>
      </c>
      <c r="C13" s="9" t="n"/>
    </row>
    <row r="14">
      <c r="A14" s="14" t="inlineStr">
        <is>
          <t>Estimated Energy Reduction w/ Vigilent (%)</t>
        </is>
      </c>
      <c r="B14" s="12" t="n">
        <v>0.075</v>
      </c>
      <c r="C14" s="9" t="n"/>
    </row>
    <row r="15">
      <c r="A15" s="14" t="inlineStr">
        <is>
          <t>Estimated Water Reduction w/ Vigilent (%)</t>
        </is>
      </c>
      <c r="B15" s="6" t="n">
        <v>0.075</v>
      </c>
      <c r="C15" s="9" t="n"/>
    </row>
    <row r="16">
      <c r="A16" s="9" t="n"/>
      <c r="B16" s="9" t="n"/>
      <c r="C16" s="9" t="n"/>
    </row>
    <row r="17">
      <c r="A17" s="13" t="inlineStr">
        <is>
          <t>Output:</t>
        </is>
      </c>
      <c r="B17" s="13" t="inlineStr">
        <is>
          <t>Value</t>
        </is>
      </c>
      <c r="C17" s="13" t="inlineStr">
        <is>
          <t>Percentage</t>
        </is>
      </c>
    </row>
    <row r="18">
      <c r="A18" s="14" t="inlineStr">
        <is>
          <t>Annual energy consumption (kWh)</t>
        </is>
      </c>
      <c r="B18" s="14">
        <f>B4*(1+B6)^B12*8760</f>
        <v/>
      </c>
      <c r="C18" s="15" t="n"/>
    </row>
    <row r="19">
      <c r="A19" s="14" t="inlineStr">
        <is>
          <t>Annual energy cost ($)</t>
        </is>
      </c>
      <c r="B19" s="14">
        <f>B4*(1+B6)^B12*8760*1000*B5</f>
        <v/>
      </c>
      <c r="C19" s="15" t="n"/>
    </row>
    <row r="20">
      <c r="A20" s="14" t="inlineStr">
        <is>
          <t>Projected cost growth under load expansion ($) (%)</t>
        </is>
      </c>
      <c r="B20" s="14">
        <f>B4*(1+B6)^B12*8760*1000*B5-(B4*8760*1000*B5)</f>
        <v/>
      </c>
      <c r="C20" s="14">
        <f>B20/B19</f>
        <v/>
      </c>
    </row>
    <row r="21">
      <c r="A21" s="14" t="inlineStr">
        <is>
          <t>Estimated savings w/ energy reduction ($) (%)</t>
        </is>
      </c>
      <c r="B21" s="14">
        <f>B4*(1+B6)^B12*B14*8760*1000*B5</f>
        <v/>
      </c>
      <c r="C21" s="14">
        <f>B21/B19</f>
        <v/>
      </c>
    </row>
    <row r="22">
      <c r="A22" s="14" t="inlineStr">
        <is>
          <t>% impact on total operating costs (%)</t>
        </is>
      </c>
      <c r="B22" s="14">
        <f>B21/(B19/B9)</f>
        <v/>
      </c>
      <c r="C22" s="15" t="n"/>
    </row>
    <row r="24">
      <c r="A24" s="13" t="inlineStr">
        <is>
          <t>Factor</t>
        </is>
      </c>
      <c r="B24" s="13" t="inlineStr">
        <is>
          <t>Value</t>
        </is>
      </c>
      <c r="C24" s="16" t="inlineStr">
        <is>
          <t>Min Threshold</t>
        </is>
      </c>
      <c r="D24" s="16" t="inlineStr">
        <is>
          <t>Max Threshold</t>
        </is>
      </c>
      <c r="E24" s="13" t="inlineStr">
        <is>
          <t>Composite Score</t>
        </is>
      </c>
      <c r="F24" s="16" t="inlineStr">
        <is>
          <t>Weight</t>
        </is>
      </c>
    </row>
    <row r="25">
      <c r="A25" s="14" t="inlineStr">
        <is>
          <t>$ savings per MW</t>
        </is>
      </c>
      <c r="B25" s="19">
        <f>B21*B5</f>
        <v/>
      </c>
      <c r="C25" s="18" t="n">
        <v>0</v>
      </c>
      <c r="D25" s="18" t="n">
        <v>300000</v>
      </c>
      <c r="E25" s="19">
        <f>B25/(C25+D25)*100</f>
        <v/>
      </c>
      <c r="F25" s="20" t="n">
        <v>0.35</v>
      </c>
    </row>
    <row r="26">
      <c r="A26" s="14" t="inlineStr">
        <is>
          <t>% savings of Water Usage</t>
        </is>
      </c>
      <c r="B26" s="19">
        <f>B15</f>
        <v/>
      </c>
      <c r="C26" s="18" t="n">
        <v>0</v>
      </c>
      <c r="D26" s="18" t="n">
        <v>0.08</v>
      </c>
      <c r="E26" s="19">
        <f>B26/(C26+D26)*100</f>
        <v/>
      </c>
      <c r="F26" s="20" t="n">
        <v>0.1</v>
      </c>
    </row>
    <row r="27">
      <c r="A27" s="14" t="inlineStr">
        <is>
          <t>% impact on total operating costs (%)</t>
        </is>
      </c>
      <c r="B27" s="19">
        <f>B21/(B19/B9)</f>
        <v/>
      </c>
      <c r="C27" s="18" t="n">
        <v>0</v>
      </c>
      <c r="D27" s="18" t="n">
        <v>0.1</v>
      </c>
      <c r="E27" s="19">
        <f>B27/(C27+D27)*100</f>
        <v/>
      </c>
      <c r="F27" s="20" t="n">
        <v>0.2</v>
      </c>
    </row>
    <row r="28">
      <c r="A28" s="14" t="inlineStr">
        <is>
          <t>Payback period</t>
        </is>
      </c>
      <c r="B28" s="19">
        <f>B13/B21</f>
        <v/>
      </c>
      <c r="C28" s="18" t="n">
        <v>0</v>
      </c>
      <c r="D28" s="18" t="n">
        <v>5</v>
      </c>
      <c r="E28" s="19">
        <f>(1-B28/(C28+D28))*100</f>
        <v/>
      </c>
      <c r="F28" s="20" t="n">
        <v>0.25</v>
      </c>
    </row>
    <row r="29">
      <c r="A29" s="14" t="inlineStr">
        <is>
          <t>Load Growth (Pressure)</t>
        </is>
      </c>
      <c r="B29" s="19">
        <f>B6</f>
        <v/>
      </c>
      <c r="C29" s="18" t="n">
        <v>0</v>
      </c>
      <c r="D29" s="18" t="n">
        <v>0.15</v>
      </c>
      <c r="E29" s="19">
        <f>B29/(C29+D29)*100</f>
        <v/>
      </c>
      <c r="F29" s="20" t="n">
        <v>0.1</v>
      </c>
    </row>
    <row r="31">
      <c r="A31" s="13" t="inlineStr">
        <is>
          <t>Total Score (out of 500)</t>
        </is>
      </c>
    </row>
    <row r="32">
      <c r="A32" s="14">
        <f>E25*F25+E26*F26+E27*F27+E28*F28+E29*F29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32"/>
  <sheetViews>
    <sheetView workbookViewId="0">
      <selection activeCell="A1" sqref="A1"/>
    </sheetView>
  </sheetViews>
  <sheetFormatPr baseColWidth="8" defaultColWidth="12.63" defaultRowHeight="15.75" customHeight="1"/>
  <cols>
    <col width="38.75" customWidth="1" style="58" min="1" max="1"/>
    <col width="12.88" customWidth="1" style="58" min="3" max="3"/>
    <col width="15.88" customWidth="1" style="58" min="5" max="5"/>
  </cols>
  <sheetData>
    <row r="1">
      <c r="A1" s="23" t="inlineStr">
        <is>
          <t>Target Data Center Input</t>
        </is>
      </c>
      <c r="B1" s="23" t="inlineStr">
        <is>
          <t>Value</t>
        </is>
      </c>
      <c r="C1" s="25" t="n"/>
      <c r="D1" s="25" t="n"/>
      <c r="E1" s="25" t="n"/>
      <c r="F1" s="25" t="n"/>
    </row>
    <row r="2">
      <c r="A2" s="26" t="inlineStr">
        <is>
          <t>Data Center Size (MW)</t>
        </is>
      </c>
      <c r="B2" s="18" t="n">
        <v>20</v>
      </c>
      <c r="C2" s="25" t="n"/>
      <c r="D2" s="25" t="n"/>
      <c r="E2" s="25" t="n"/>
      <c r="F2" s="25" t="n"/>
    </row>
    <row r="3">
      <c r="A3" s="26" t="inlineStr">
        <is>
          <t>Baseline PUE (Ratio)</t>
        </is>
      </c>
      <c r="B3" s="18" t="n">
        <v>1.4</v>
      </c>
      <c r="C3" s="25" t="n"/>
      <c r="D3" s="25" t="n"/>
      <c r="E3" s="25" t="n"/>
      <c r="F3" s="25" t="n"/>
    </row>
    <row r="4">
      <c r="A4" s="26" t="inlineStr">
        <is>
          <t>Total Electricity Usage (MW)</t>
        </is>
      </c>
      <c r="B4" s="18" t="n">
        <v>28</v>
      </c>
      <c r="C4" s="25" t="n"/>
      <c r="D4" s="25" t="n"/>
      <c r="E4" s="25" t="n"/>
      <c r="F4" s="25" t="n"/>
    </row>
    <row r="5">
      <c r="A5" s="26" t="inlineStr">
        <is>
          <t>Electricity Price ($/kWh)</t>
        </is>
      </c>
      <c r="B5" s="18" t="n">
        <v>0.1</v>
      </c>
      <c r="C5" s="25" t="n"/>
      <c r="D5" s="25" t="n"/>
      <c r="E5" s="25" t="n"/>
      <c r="F5" s="25" t="n"/>
    </row>
    <row r="6">
      <c r="A6" s="26" t="inlineStr">
        <is>
          <t>Annual IT Load Growth Rate (%)</t>
        </is>
      </c>
      <c r="B6" s="20" t="n">
        <v>0.08</v>
      </c>
      <c r="C6" s="25" t="n"/>
      <c r="D6" s="25" t="n"/>
      <c r="E6" s="25" t="n"/>
      <c r="F6" s="25" t="n"/>
    </row>
    <row r="7">
      <c r="A7" s="30" t="inlineStr">
        <is>
          <t>Annual Site Water Usage (L)</t>
        </is>
      </c>
      <c r="B7" s="8" t="n">
        <v>315000000</v>
      </c>
      <c r="C7" s="25" t="n"/>
      <c r="D7" s="25" t="n"/>
      <c r="E7" s="25" t="n"/>
      <c r="F7" s="25" t="n"/>
    </row>
    <row r="8">
      <c r="A8" s="30" t="inlineStr">
        <is>
          <t>Water Cost per Liter ($)</t>
        </is>
      </c>
      <c r="B8" s="8" t="n">
        <v>0.003</v>
      </c>
      <c r="C8" s="25" t="n"/>
      <c r="D8" s="25" t="n"/>
      <c r="E8" s="25" t="n"/>
      <c r="F8" s="25" t="n"/>
    </row>
    <row r="9">
      <c r="A9" s="26" t="inlineStr">
        <is>
          <t>Energy % of Operational Expenditure (OPEX) (%)</t>
        </is>
      </c>
      <c r="B9" s="20" t="n">
        <v>0.4</v>
      </c>
      <c r="C9" s="25" t="n"/>
      <c r="D9" s="25" t="n"/>
      <c r="E9" s="25" t="n"/>
      <c r="F9" s="25" t="n"/>
    </row>
    <row r="10">
      <c r="A10" s="25" t="n"/>
      <c r="B10" s="28" t="n"/>
      <c r="C10" s="25" t="n"/>
      <c r="D10" s="25" t="n"/>
      <c r="E10" s="25" t="n"/>
      <c r="F10" s="25" t="n"/>
    </row>
    <row r="11">
      <c r="A11" s="16" t="inlineStr">
        <is>
          <t>Vigilent Parameters Input</t>
        </is>
      </c>
      <c r="B11" s="16" t="inlineStr">
        <is>
          <t>Value</t>
        </is>
      </c>
      <c r="C11" s="25" t="n"/>
      <c r="D11" s="25" t="n"/>
      <c r="E11" s="25" t="n"/>
      <c r="F11" s="25" t="n"/>
    </row>
    <row r="12">
      <c r="A12" s="26" t="inlineStr">
        <is>
          <t>Number of Years (int)</t>
        </is>
      </c>
      <c r="B12" s="18" t="n">
        <v>1</v>
      </c>
      <c r="C12" s="25" t="n"/>
      <c r="D12" s="25" t="n"/>
      <c r="E12" s="25" t="n"/>
      <c r="F12" s="25" t="n"/>
    </row>
    <row r="13">
      <c r="A13" s="26" t="inlineStr">
        <is>
          <t>Vigilent Investment Cost ($)</t>
        </is>
      </c>
      <c r="B13" s="18" t="n">
        <v>1500000</v>
      </c>
      <c r="C13" s="25" t="n"/>
      <c r="D13" s="25" t="n"/>
      <c r="E13" s="25" t="n"/>
      <c r="F13" s="25" t="n"/>
    </row>
    <row r="14">
      <c r="A14" s="26" t="inlineStr">
        <is>
          <t>Estimated Energy Reduction w/ Vigilent (%)</t>
        </is>
      </c>
      <c r="B14" s="29" t="n">
        <v>0.07000000000000001</v>
      </c>
      <c r="C14" s="25" t="n"/>
      <c r="D14" s="25" t="n"/>
      <c r="E14" s="25" t="n"/>
      <c r="F14" s="25" t="n"/>
    </row>
    <row r="15">
      <c r="A15" s="26" t="inlineStr">
        <is>
          <t>Estimated Water Reduction w/ Vigilent (%)</t>
        </is>
      </c>
      <c r="B15" s="29" t="n">
        <v>0.04</v>
      </c>
      <c r="C15" s="25" t="n"/>
      <c r="D15" s="25" t="n"/>
      <c r="E15" s="25" t="n"/>
      <c r="F15" s="25" t="n"/>
    </row>
    <row r="16">
      <c r="A16" s="25" t="n"/>
      <c r="B16" s="25" t="n"/>
      <c r="C16" s="25" t="n"/>
      <c r="D16" s="25" t="n"/>
      <c r="E16" s="25" t="n"/>
      <c r="F16" s="25" t="n"/>
    </row>
    <row r="17">
      <c r="A17" s="16" t="inlineStr">
        <is>
          <t>Output:</t>
        </is>
      </c>
      <c r="B17" s="16" t="inlineStr">
        <is>
          <t>Value</t>
        </is>
      </c>
      <c r="C17" s="16" t="inlineStr">
        <is>
          <t>Percentage</t>
        </is>
      </c>
      <c r="D17" s="25" t="n"/>
      <c r="E17" s="25" t="n"/>
      <c r="F17" s="25" t="n"/>
    </row>
    <row r="18">
      <c r="A18" s="26" t="inlineStr">
        <is>
          <t>Annual energy consumption (kWh)</t>
        </is>
      </c>
      <c r="B18" s="18" t="n">
        <v>264902400</v>
      </c>
      <c r="C18" s="30" t="n"/>
      <c r="D18" s="25" t="n"/>
      <c r="E18" s="25" t="n"/>
      <c r="F18" s="25" t="n"/>
    </row>
    <row r="19">
      <c r="A19" s="26" t="inlineStr">
        <is>
          <t>Annual energy cost ($)</t>
        </is>
      </c>
      <c r="B19" s="18" t="n">
        <v>26490240</v>
      </c>
      <c r="C19" s="30" t="n"/>
      <c r="D19" s="25" t="n"/>
      <c r="E19" s="25" t="n"/>
      <c r="F19" s="25" t="n"/>
    </row>
    <row r="20">
      <c r="A20" s="26" t="inlineStr">
        <is>
          <t>Projected cost growth under load expansion ($) (%)</t>
        </is>
      </c>
      <c r="B20" s="18" t="n">
        <v>1962240</v>
      </c>
      <c r="C20" s="18" t="n">
        <v>0.074074074</v>
      </c>
      <c r="D20" s="25" t="n"/>
      <c r="E20" s="25" t="n"/>
      <c r="F20" s="25" t="n"/>
    </row>
    <row r="21">
      <c r="A21" s="26" t="inlineStr">
        <is>
          <t>Estimated savings w/ energy reduction ($) (%)</t>
        </is>
      </c>
      <c r="B21" s="18" t="n">
        <v>1854316.8</v>
      </c>
      <c r="C21" s="18" t="n">
        <v>0.07000000000000001</v>
      </c>
      <c r="D21" s="25" t="n"/>
      <c r="E21" s="25" t="n"/>
      <c r="F21" s="25" t="n"/>
    </row>
    <row r="22">
      <c r="A22" s="26" t="inlineStr">
        <is>
          <t>% impact on total operating costs (%)</t>
        </is>
      </c>
      <c r="B22" s="18" t="n">
        <v>0.028</v>
      </c>
      <c r="C22" s="30" t="n"/>
      <c r="D22" s="25" t="n"/>
      <c r="E22" s="25" t="n"/>
      <c r="F22" s="25" t="n"/>
    </row>
    <row r="23">
      <c r="A23" s="25" t="n"/>
      <c r="B23" s="25" t="n"/>
      <c r="C23" s="25" t="n"/>
      <c r="D23" s="25" t="n"/>
      <c r="E23" s="25" t="n"/>
      <c r="F23" s="25" t="n"/>
    </row>
    <row r="24">
      <c r="A24" s="16" t="inlineStr">
        <is>
          <t>Factor</t>
        </is>
      </c>
      <c r="B24" s="16" t="inlineStr">
        <is>
          <t>Value</t>
        </is>
      </c>
      <c r="C24" s="16" t="inlineStr">
        <is>
          <t>Min Threshold</t>
        </is>
      </c>
      <c r="D24" s="16" t="inlineStr">
        <is>
          <t>Max Threshold</t>
        </is>
      </c>
      <c r="E24" s="13" t="inlineStr">
        <is>
          <t>Composite Score</t>
        </is>
      </c>
      <c r="F24" s="16" t="inlineStr">
        <is>
          <t>Weight</t>
        </is>
      </c>
    </row>
    <row r="25">
      <c r="A25" s="26" t="inlineStr">
        <is>
          <t>$ savings per MW</t>
        </is>
      </c>
      <c r="B25" s="31" t="n">
        <v>92715.84</v>
      </c>
      <c r="C25" s="18" t="n">
        <v>0</v>
      </c>
      <c r="D25" s="18" t="n">
        <v>300000</v>
      </c>
      <c r="E25" s="19">
        <f>B25/(C25+D25)*100</f>
        <v/>
      </c>
      <c r="F25" s="20" t="n">
        <v>0.35</v>
      </c>
    </row>
    <row r="26">
      <c r="A26" s="26" t="inlineStr">
        <is>
          <t>% savings of Water Usage</t>
        </is>
      </c>
      <c r="B26" s="31" t="n">
        <v>0.04</v>
      </c>
      <c r="C26" s="18" t="n">
        <v>0</v>
      </c>
      <c r="D26" s="18" t="n">
        <v>0.08</v>
      </c>
      <c r="E26" s="19">
        <f>B26/(C26+D26)*100</f>
        <v/>
      </c>
      <c r="F26" s="20" t="n">
        <v>0.1</v>
      </c>
    </row>
    <row r="27">
      <c r="A27" s="26" t="inlineStr">
        <is>
          <t>% impact on total operating costs</t>
        </is>
      </c>
      <c r="B27" s="31" t="n">
        <v>0.03</v>
      </c>
      <c r="C27" s="18" t="n">
        <v>0</v>
      </c>
      <c r="D27" s="18" t="n">
        <v>0.1</v>
      </c>
      <c r="E27" s="19">
        <f>B27/(C27+D27)*100</f>
        <v/>
      </c>
      <c r="F27" s="20" t="n">
        <v>0.2</v>
      </c>
    </row>
    <row r="28">
      <c r="A28" s="26" t="inlineStr">
        <is>
          <t>Payback period</t>
        </is>
      </c>
      <c r="B28" s="31" t="n">
        <v>0.8100000000000001</v>
      </c>
      <c r="C28" s="18" t="n">
        <v>0</v>
      </c>
      <c r="D28" s="18" t="n">
        <v>5</v>
      </c>
      <c r="E28" s="19">
        <f>(1-B28/(C28+D28))*100</f>
        <v/>
      </c>
      <c r="F28" s="20" t="n">
        <v>0.25</v>
      </c>
      <c r="G28" s="9" t="inlineStr">
        <is>
          <t>Note that min and max thresholds are inverted!</t>
        </is>
      </c>
    </row>
    <row r="29">
      <c r="A29" s="26" t="inlineStr">
        <is>
          <t>Load Growth (Pressure)</t>
        </is>
      </c>
      <c r="B29" s="31" t="n">
        <v>0.08</v>
      </c>
      <c r="C29" s="18" t="n">
        <v>0</v>
      </c>
      <c r="D29" s="18" t="n">
        <v>0.15</v>
      </c>
      <c r="E29" s="19">
        <f>B29/(C29+D29)*100</f>
        <v/>
      </c>
      <c r="F29" s="20" t="n">
        <v>0.1</v>
      </c>
    </row>
    <row r="30">
      <c r="A30" s="25" t="n"/>
      <c r="B30" s="25" t="n"/>
      <c r="C30" s="25" t="n"/>
      <c r="D30" s="25" t="n"/>
      <c r="E30" s="25" t="n"/>
      <c r="F30" s="25" t="n"/>
    </row>
    <row r="31">
      <c r="A31" s="16" t="inlineStr">
        <is>
          <t>Total Score (0–100)</t>
        </is>
      </c>
      <c r="B31" s="25" t="n"/>
      <c r="C31" s="25" t="n"/>
      <c r="D31" s="25" t="n"/>
      <c r="E31" s="25" t="n"/>
      <c r="F31" s="25" t="n"/>
    </row>
    <row r="32">
      <c r="A32" s="14">
        <f>E25*F25+E26*F26+E27*F27+E28*F28+E29*F29</f>
        <v/>
      </c>
      <c r="B32" s="25" t="n"/>
      <c r="C32" s="25" t="n"/>
      <c r="D32" s="25" t="n"/>
      <c r="E32" s="25" t="n"/>
      <c r="F32" s="25" t="n"/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F32"/>
  <sheetViews>
    <sheetView workbookViewId="0">
      <selection activeCell="A1" sqref="A1"/>
    </sheetView>
  </sheetViews>
  <sheetFormatPr baseColWidth="8" defaultColWidth="12.63" defaultRowHeight="15.75" customHeight="1"/>
  <cols>
    <col width="38.75" customWidth="1" style="58" min="1" max="1"/>
    <col width="12.88" customWidth="1" style="58" min="3" max="3"/>
    <col width="15.88" customWidth="1" style="58" min="5" max="5"/>
  </cols>
  <sheetData>
    <row r="1">
      <c r="A1" s="1" t="inlineStr">
        <is>
          <t>Target Data Center Input</t>
        </is>
      </c>
      <c r="B1" s="1" t="inlineStr">
        <is>
          <t>Value</t>
        </is>
      </c>
      <c r="C1" s="9" t="n"/>
    </row>
    <row r="2">
      <c r="A2" s="14" t="inlineStr">
        <is>
          <t>Data Center Size (MW)</t>
        </is>
      </c>
      <c r="B2" s="14" t="n">
        <v>20</v>
      </c>
      <c r="C2" s="9" t="n"/>
    </row>
    <row r="3">
      <c r="A3" s="14" t="inlineStr">
        <is>
          <t>Baseline PUE (Ratio)</t>
        </is>
      </c>
      <c r="B3" s="14" t="n">
        <v>1.58</v>
      </c>
      <c r="C3" s="9" t="n"/>
    </row>
    <row r="4">
      <c r="A4" s="14" t="inlineStr">
        <is>
          <t>Total Electricity Usage (MW)</t>
        </is>
      </c>
      <c r="B4" s="14">
        <f>B2*B3</f>
        <v/>
      </c>
      <c r="C4" s="9" t="n"/>
    </row>
    <row r="5">
      <c r="A5" s="14" t="inlineStr">
        <is>
          <t>Electricity Price ($/kWh)</t>
        </is>
      </c>
      <c r="B5" s="14" t="n">
        <v>0.26</v>
      </c>
      <c r="C5" s="9" t="n"/>
    </row>
    <row r="6">
      <c r="A6" s="14" t="inlineStr">
        <is>
          <t>Annual IT Load Growth Rate (%)</t>
        </is>
      </c>
      <c r="B6" s="6" t="n">
        <v>0.15</v>
      </c>
      <c r="C6" s="9" t="n"/>
    </row>
    <row r="7">
      <c r="A7" s="15" t="inlineStr">
        <is>
          <t>Annual Site Water Usage (L)</t>
        </is>
      </c>
      <c r="B7" s="15" t="n">
        <v>50</v>
      </c>
      <c r="C7" s="9" t="n"/>
    </row>
    <row r="8">
      <c r="A8" s="15" t="inlineStr">
        <is>
          <t>Water Cost per Liter ($)</t>
        </is>
      </c>
      <c r="B8" s="15" t="n">
        <v>0.001</v>
      </c>
      <c r="C8" s="9" t="n"/>
    </row>
    <row r="9">
      <c r="A9" s="14" t="inlineStr">
        <is>
          <t>Energy % of Operational Expenditure (OPEX) (%)</t>
        </is>
      </c>
      <c r="B9" s="6" t="n">
        <v>0.4</v>
      </c>
      <c r="C9" s="9" t="n"/>
    </row>
    <row r="10">
      <c r="A10" s="9" t="n"/>
      <c r="B10" s="10" t="n"/>
      <c r="C10" s="9" t="n"/>
    </row>
    <row r="11">
      <c r="A11" s="11" t="inlineStr">
        <is>
          <t>Vigilent Parameters Input</t>
        </is>
      </c>
      <c r="B11" s="11" t="inlineStr">
        <is>
          <t>Value</t>
        </is>
      </c>
      <c r="C11" s="9" t="n"/>
    </row>
    <row r="12">
      <c r="A12" s="14" t="inlineStr">
        <is>
          <t>Number of Years (int)</t>
        </is>
      </c>
      <c r="B12" s="14" t="n">
        <v>1</v>
      </c>
      <c r="C12" s="9" t="n"/>
    </row>
    <row r="13">
      <c r="A13" s="14" t="inlineStr">
        <is>
          <t>Vigilent Investment Cost ($)</t>
        </is>
      </c>
      <c r="B13" s="14" t="n">
        <v>10000</v>
      </c>
      <c r="C13" s="9" t="n"/>
    </row>
    <row r="14">
      <c r="A14" s="14" t="inlineStr">
        <is>
          <t>Estimated Energy Reduction w/ Vigilent (%)</t>
        </is>
      </c>
      <c r="B14" s="12" t="n">
        <v>0.075</v>
      </c>
      <c r="C14" s="9" t="n"/>
    </row>
    <row r="15">
      <c r="A15" s="14" t="inlineStr">
        <is>
          <t>Estimated Water Reduction w/ Vigilent (%)</t>
        </is>
      </c>
      <c r="B15" s="12" t="n">
        <v>0.075</v>
      </c>
      <c r="C15" s="9" t="n"/>
    </row>
    <row r="16">
      <c r="A16" s="9" t="n"/>
      <c r="B16" s="9" t="n"/>
      <c r="C16" s="9" t="n"/>
    </row>
    <row r="17">
      <c r="A17" s="13" t="inlineStr">
        <is>
          <t>Output:</t>
        </is>
      </c>
      <c r="B17" s="13" t="inlineStr">
        <is>
          <t>Value</t>
        </is>
      </c>
      <c r="C17" s="13" t="inlineStr">
        <is>
          <t>Percentage</t>
        </is>
      </c>
    </row>
    <row r="18">
      <c r="A18" s="14" t="inlineStr">
        <is>
          <t>Annual energy consumption (kWh)</t>
        </is>
      </c>
      <c r="B18" s="14">
        <f>B4*(1+B6)^B12*8760</f>
        <v/>
      </c>
      <c r="C18" s="15" t="n"/>
    </row>
    <row r="19">
      <c r="A19" s="14" t="inlineStr">
        <is>
          <t>Annual energy cost ($)</t>
        </is>
      </c>
      <c r="B19" s="14">
        <f>B4*(1+B6)^B12*8760*1000*B5</f>
        <v/>
      </c>
      <c r="C19" s="15" t="n"/>
    </row>
    <row r="20">
      <c r="A20" s="14" t="inlineStr">
        <is>
          <t>Projected cost growth under load expansion ($) (%)</t>
        </is>
      </c>
      <c r="B20" s="14">
        <f>B4*(1+B6)^B12*8760*1000*B5-(B4*8760*1000*B5)</f>
        <v/>
      </c>
      <c r="C20" s="14">
        <f>B20/B19</f>
        <v/>
      </c>
    </row>
    <row r="21">
      <c r="A21" s="14" t="inlineStr">
        <is>
          <t>Estimated savings w/ energy reduction ($) (%)</t>
        </is>
      </c>
      <c r="B21" s="14">
        <f>B4*(1+B6)^B12*B14*8760*1000*B5</f>
        <v/>
      </c>
      <c r="C21" s="14">
        <f>B21/B19</f>
        <v/>
      </c>
    </row>
    <row r="22">
      <c r="A22" s="14" t="inlineStr">
        <is>
          <t>% impact on total operating costs (%)</t>
        </is>
      </c>
      <c r="B22" s="14">
        <f>B21/(B19/B9)</f>
        <v/>
      </c>
      <c r="C22" s="15" t="n"/>
    </row>
    <row r="24">
      <c r="A24" s="32" t="inlineStr">
        <is>
          <t>Factor</t>
        </is>
      </c>
      <c r="B24" s="32" t="inlineStr">
        <is>
          <t>Value</t>
        </is>
      </c>
      <c r="C24" s="32" t="inlineStr">
        <is>
          <t>Min Threshold</t>
        </is>
      </c>
      <c r="D24" s="32" t="inlineStr">
        <is>
          <t>Max Threshold</t>
        </is>
      </c>
      <c r="E24" s="32" t="inlineStr">
        <is>
          <t>Composite Score</t>
        </is>
      </c>
      <c r="F24" s="32" t="inlineStr">
        <is>
          <t>Weight</t>
        </is>
      </c>
    </row>
    <row r="25">
      <c r="A25" s="38" t="inlineStr">
        <is>
          <t>$ savings per MW</t>
        </is>
      </c>
      <c r="B25" s="36">
        <f>(1+B6)^B12*B14*1000*B5</f>
        <v/>
      </c>
      <c r="C25" s="38" t="n">
        <v>0</v>
      </c>
      <c r="D25" s="38" t="n">
        <v>100000</v>
      </c>
      <c r="E25" s="36">
        <f>B25/(C25+D25)*100</f>
        <v/>
      </c>
      <c r="F25" s="37" t="n">
        <v>0.35</v>
      </c>
    </row>
    <row r="26">
      <c r="A26" s="38" t="inlineStr">
        <is>
          <t>% savings of Water Usage</t>
        </is>
      </c>
      <c r="B26" s="36">
        <f>B15</f>
        <v/>
      </c>
      <c r="C26" s="38" t="n">
        <v>0</v>
      </c>
      <c r="D26" s="38" t="n">
        <v>0.1</v>
      </c>
      <c r="E26" s="36">
        <f>B26/(C26+D26)*100</f>
        <v/>
      </c>
      <c r="F26" s="37" t="n">
        <v>0.1</v>
      </c>
    </row>
    <row r="27">
      <c r="A27" s="38" t="inlineStr">
        <is>
          <t>% impact on total operating costs (%)</t>
        </is>
      </c>
      <c r="B27" s="36">
        <f>B21/(B19/B9)</f>
        <v/>
      </c>
      <c r="C27" s="38" t="n">
        <v>0</v>
      </c>
      <c r="D27" s="38" t="n">
        <v>0.08</v>
      </c>
      <c r="E27" s="36">
        <f>B27/(C27+D27)*100</f>
        <v/>
      </c>
      <c r="F27" s="37" t="n">
        <v>0.2</v>
      </c>
    </row>
    <row r="28">
      <c r="A28" s="38" t="inlineStr">
        <is>
          <t>Payback period</t>
        </is>
      </c>
      <c r="B28" s="36">
        <f>B13/B21</f>
        <v/>
      </c>
      <c r="C28" s="38" t="n">
        <v>0</v>
      </c>
      <c r="D28" s="38" t="n">
        <v>5</v>
      </c>
      <c r="E28" s="36">
        <f>B28/(C28+D28)*100</f>
        <v/>
      </c>
      <c r="F28" s="37" t="n">
        <v>0.25</v>
      </c>
    </row>
    <row r="29">
      <c r="A29" s="38" t="inlineStr">
        <is>
          <t>Load Growth (Pressure)</t>
        </is>
      </c>
      <c r="B29" s="36">
        <f>B6</f>
        <v/>
      </c>
      <c r="C29" s="38" t="n">
        <v>0</v>
      </c>
      <c r="D29" s="38" t="n">
        <v>0.1</v>
      </c>
      <c r="E29" s="36">
        <f>B29/(C29+D29)*100</f>
        <v/>
      </c>
      <c r="F29" s="37" t="n">
        <v>0.1</v>
      </c>
    </row>
    <row r="31">
      <c r="A31" s="32" t="inlineStr">
        <is>
          <t>Total Score (out of 500)</t>
        </is>
      </c>
    </row>
    <row r="32">
      <c r="A32" s="38">
        <f>E25*F25+E26*F26+E27*F27+E28*F28+E29*F29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32"/>
  <sheetViews>
    <sheetView workbookViewId="0">
      <selection activeCell="A1" sqref="A1"/>
    </sheetView>
  </sheetViews>
  <sheetFormatPr baseColWidth="8" defaultColWidth="12.63" defaultRowHeight="15.75" customHeight="1"/>
  <cols>
    <col width="38.75" customWidth="1" style="58" min="1" max="1"/>
  </cols>
  <sheetData>
    <row r="1">
      <c r="A1" s="39" t="inlineStr">
        <is>
          <t>Target Data Center Input</t>
        </is>
      </c>
      <c r="B1" s="39" t="inlineStr">
        <is>
          <t>Value</t>
        </is>
      </c>
      <c r="C1" s="44" t="n"/>
      <c r="D1" s="41" t="n"/>
      <c r="E1" s="41" t="n"/>
      <c r="F1" s="41" t="n"/>
    </row>
    <row r="2">
      <c r="A2" s="42" t="inlineStr">
        <is>
          <t>Data Center Size (MW)</t>
        </is>
      </c>
      <c r="B2" s="43" t="n">
        <v>20</v>
      </c>
      <c r="C2" s="44" t="n"/>
      <c r="D2" s="41" t="n"/>
      <c r="E2" s="41" t="n"/>
      <c r="F2" s="41" t="n"/>
    </row>
    <row r="3">
      <c r="A3" s="42" t="inlineStr">
        <is>
          <t>Baseline PUE (Ratio)</t>
        </is>
      </c>
      <c r="B3" s="43" t="n">
        <v>1.4</v>
      </c>
      <c r="C3" s="44" t="n"/>
      <c r="D3" s="41" t="n"/>
      <c r="E3" s="41" t="n"/>
      <c r="F3" s="41" t="n"/>
    </row>
    <row r="4">
      <c r="A4" s="42" t="inlineStr">
        <is>
          <t>Total Electricity Usage (MW)</t>
        </is>
      </c>
      <c r="B4" s="43" t="n">
        <v>28</v>
      </c>
      <c r="C4" s="44" t="n"/>
      <c r="D4" s="41" t="n"/>
      <c r="E4" s="41" t="n"/>
      <c r="F4" s="41" t="n"/>
    </row>
    <row r="5">
      <c r="A5" s="42" t="inlineStr">
        <is>
          <t>Electricity Price ($/kWh)</t>
        </is>
      </c>
      <c r="B5" s="43" t="n">
        <v>0.1</v>
      </c>
      <c r="C5" s="44" t="n"/>
      <c r="D5" s="41" t="n"/>
      <c r="E5" s="41" t="n"/>
      <c r="F5" s="41" t="n"/>
    </row>
    <row r="6">
      <c r="A6" s="42" t="inlineStr">
        <is>
          <t>Annual IT Load Growth Rate (%)</t>
        </is>
      </c>
      <c r="B6" s="45" t="n">
        <v>0.08</v>
      </c>
      <c r="C6" s="44" t="n"/>
      <c r="D6" s="41" t="n"/>
      <c r="E6" s="41" t="n"/>
      <c r="F6" s="41" t="n"/>
    </row>
    <row r="7">
      <c r="A7" s="51" t="inlineStr">
        <is>
          <t>Annual Site Water Usage (L)</t>
        </is>
      </c>
      <c r="B7" s="47" t="n">
        <v>315000000</v>
      </c>
      <c r="C7" s="44" t="n"/>
      <c r="D7" s="41" t="n"/>
      <c r="E7" s="41" t="n"/>
      <c r="F7" s="41" t="n"/>
    </row>
    <row r="8">
      <c r="A8" s="51" t="inlineStr">
        <is>
          <t>Water Cost per Liter ($)</t>
        </is>
      </c>
      <c r="B8" s="47" t="n">
        <v>0.003</v>
      </c>
      <c r="C8" s="44" t="n"/>
      <c r="D8" s="41" t="n"/>
      <c r="E8" s="41" t="n"/>
      <c r="F8" s="41" t="n"/>
    </row>
    <row r="9">
      <c r="A9" s="42" t="inlineStr">
        <is>
          <t>Energy % of Operational Expenditure (OPEX) (%)</t>
        </is>
      </c>
      <c r="B9" s="45" t="n">
        <v>0.4</v>
      </c>
      <c r="C9" s="44" t="n"/>
      <c r="D9" s="41" t="n"/>
      <c r="E9" s="41" t="n"/>
      <c r="F9" s="41" t="n"/>
    </row>
    <row r="10">
      <c r="A10" s="44" t="n"/>
      <c r="B10" s="48" t="n"/>
      <c r="C10" s="44" t="n"/>
      <c r="D10" s="41" t="n"/>
      <c r="E10" s="41" t="n"/>
      <c r="F10" s="41" t="n"/>
    </row>
    <row r="11">
      <c r="A11" s="49" t="inlineStr">
        <is>
          <t>Vigilent Parameters Input</t>
        </is>
      </c>
      <c r="B11" s="49" t="inlineStr">
        <is>
          <t>Value</t>
        </is>
      </c>
      <c r="C11" s="44" t="n"/>
      <c r="D11" s="41" t="n"/>
      <c r="E11" s="41" t="n"/>
      <c r="F11" s="41" t="n"/>
    </row>
    <row r="12">
      <c r="A12" s="42" t="inlineStr">
        <is>
          <t>Number of Years (int)</t>
        </is>
      </c>
      <c r="B12" s="43" t="n">
        <v>1</v>
      </c>
      <c r="C12" s="44" t="n"/>
      <c r="D12" s="41" t="n"/>
      <c r="E12" s="41" t="n"/>
      <c r="F12" s="41" t="n"/>
    </row>
    <row r="13">
      <c r="A13" s="42" t="inlineStr">
        <is>
          <t>Vigilent Investment Cost ($)</t>
        </is>
      </c>
      <c r="B13" s="43" t="n">
        <v>1500000</v>
      </c>
      <c r="C13" s="44" t="n"/>
      <c r="D13" s="41" t="n"/>
      <c r="E13" s="41" t="n"/>
      <c r="F13" s="41" t="n"/>
    </row>
    <row r="14">
      <c r="A14" s="42" t="inlineStr">
        <is>
          <t>Estimated Energy Reduction w/ Vigilent (%)</t>
        </is>
      </c>
      <c r="B14" s="50" t="n">
        <v>0.07000000000000001</v>
      </c>
      <c r="C14" s="44" t="n"/>
      <c r="D14" s="41" t="n"/>
      <c r="E14" s="41" t="n"/>
      <c r="F14" s="41" t="n"/>
    </row>
    <row r="15">
      <c r="A15" s="42" t="inlineStr">
        <is>
          <t>Estimated Water Reduction w/ Vigilent (%)</t>
        </is>
      </c>
      <c r="B15" s="50" t="n">
        <v>0.04</v>
      </c>
      <c r="C15" s="44" t="n"/>
      <c r="D15" s="41" t="n"/>
      <c r="E15" s="41" t="n"/>
      <c r="F15" s="41" t="n"/>
    </row>
    <row r="16">
      <c r="A16" s="44" t="n"/>
      <c r="B16" s="44" t="n"/>
      <c r="C16" s="44" t="n"/>
      <c r="D16" s="41" t="n"/>
      <c r="E16" s="41" t="n"/>
      <c r="F16" s="41" t="n"/>
    </row>
    <row r="17">
      <c r="A17" s="49" t="inlineStr">
        <is>
          <t>Output:</t>
        </is>
      </c>
      <c r="B17" s="49" t="inlineStr">
        <is>
          <t>Value</t>
        </is>
      </c>
      <c r="C17" s="49" t="inlineStr">
        <is>
          <t>Percentage</t>
        </is>
      </c>
      <c r="D17" s="41" t="n"/>
      <c r="E17" s="41" t="n"/>
      <c r="F17" s="41" t="n"/>
    </row>
    <row r="18">
      <c r="A18" s="42" t="inlineStr">
        <is>
          <t>Annual energy consumption (kWh)</t>
        </is>
      </c>
      <c r="B18" s="43" t="n">
        <v>264902400</v>
      </c>
      <c r="C18" s="51" t="n"/>
      <c r="D18" s="41" t="n"/>
      <c r="E18" s="41" t="n"/>
      <c r="F18" s="41" t="n"/>
    </row>
    <row r="19">
      <c r="A19" s="42" t="inlineStr">
        <is>
          <t>Annual energy cost ($)</t>
        </is>
      </c>
      <c r="B19" s="43" t="n">
        <v>26490240</v>
      </c>
      <c r="C19" s="51" t="n"/>
      <c r="D19" s="41" t="n"/>
      <c r="E19" s="41" t="n"/>
      <c r="F19" s="41" t="n"/>
    </row>
    <row r="20">
      <c r="A20" s="42" t="inlineStr">
        <is>
          <t>Projected cost growth under load expansion ($) (%)</t>
        </is>
      </c>
      <c r="B20" s="43" t="n">
        <v>1962240</v>
      </c>
      <c r="C20" s="43" t="n">
        <v>0.074074074</v>
      </c>
      <c r="D20" s="41" t="n"/>
      <c r="E20" s="41" t="n"/>
      <c r="F20" s="41" t="n"/>
    </row>
    <row r="21">
      <c r="A21" s="42" t="inlineStr">
        <is>
          <t>Estimated savings w/ energy reduction ($) (%)</t>
        </is>
      </c>
      <c r="B21" s="43" t="n">
        <v>1854316.8</v>
      </c>
      <c r="C21" s="43" t="n">
        <v>0.07000000000000001</v>
      </c>
      <c r="D21" s="41" t="n"/>
      <c r="E21" s="41" t="n"/>
      <c r="F21" s="41" t="n"/>
    </row>
    <row r="22">
      <c r="A22" s="42" t="inlineStr">
        <is>
          <t>% impact on total operating costs (%)</t>
        </is>
      </c>
      <c r="B22" s="43" t="n">
        <v>0.028</v>
      </c>
      <c r="C22" s="51" t="n"/>
      <c r="D22" s="41" t="n"/>
      <c r="E22" s="41" t="n"/>
      <c r="F22" s="41" t="n"/>
    </row>
    <row r="23">
      <c r="A23" s="41" t="n"/>
      <c r="B23" s="41" t="n"/>
      <c r="C23" s="41" t="n"/>
      <c r="D23" s="41" t="n"/>
      <c r="E23" s="41" t="n"/>
      <c r="F23" s="41" t="n"/>
    </row>
    <row r="24">
      <c r="A24" s="57" t="n"/>
      <c r="B24" s="57" t="n"/>
      <c r="C24" s="57" t="n"/>
      <c r="D24" s="57" t="n"/>
      <c r="E24" s="57" t="n"/>
      <c r="F24" s="57" t="n"/>
    </row>
    <row r="25">
      <c r="A25" s="57" t="n"/>
      <c r="B25" s="53" t="n"/>
      <c r="C25" s="54" t="n"/>
      <c r="D25" s="54" t="n"/>
      <c r="E25" s="57" t="n"/>
      <c r="F25" s="56" t="n"/>
    </row>
    <row r="26">
      <c r="A26" s="57" t="n"/>
      <c r="B26" s="54" t="n"/>
      <c r="C26" s="54" t="n"/>
      <c r="D26" s="54" t="n"/>
      <c r="E26" s="57" t="n"/>
      <c r="F26" s="56" t="n"/>
    </row>
    <row r="27">
      <c r="A27" s="57" t="n"/>
      <c r="B27" s="54" t="n"/>
      <c r="C27" s="54" t="n"/>
      <c r="D27" s="54" t="n"/>
      <c r="E27" s="57" t="n"/>
      <c r="F27" s="56" t="n"/>
    </row>
    <row r="28">
      <c r="A28" s="57" t="n"/>
      <c r="B28" s="54" t="n"/>
      <c r="C28" s="54" t="n"/>
      <c r="D28" s="54" t="n"/>
      <c r="E28" s="57" t="n"/>
      <c r="F28" s="56" t="n"/>
    </row>
    <row r="29">
      <c r="A29" s="57" t="n"/>
      <c r="B29" s="54" t="n"/>
      <c r="C29" s="54" t="n"/>
      <c r="D29" s="54" t="n"/>
      <c r="E29" s="57" t="n"/>
      <c r="F29" s="56" t="n"/>
    </row>
    <row r="30">
      <c r="A30" s="57" t="n"/>
      <c r="B30" s="57" t="n"/>
      <c r="C30" s="57" t="n"/>
      <c r="D30" s="57" t="n"/>
      <c r="E30" s="57" t="n"/>
      <c r="F30" s="57" t="n"/>
    </row>
    <row r="31">
      <c r="A31" s="57" t="n"/>
      <c r="B31" s="57" t="n"/>
      <c r="C31" s="57" t="n"/>
      <c r="D31" s="57" t="n"/>
      <c r="E31" s="57" t="n"/>
      <c r="F31" s="57" t="n"/>
    </row>
    <row r="32">
      <c r="A32" s="54" t="n"/>
      <c r="B32" s="57" t="n"/>
      <c r="C32" s="57" t="n"/>
      <c r="D32" s="57" t="n"/>
      <c r="E32" s="57" t="n"/>
      <c r="F32" s="5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C22"/>
  <sheetViews>
    <sheetView workbookViewId="0">
      <selection activeCell="A1" sqref="A1"/>
    </sheetView>
  </sheetViews>
  <sheetFormatPr baseColWidth="8" defaultColWidth="12.63" defaultRowHeight="15.75" customHeight="1"/>
  <cols>
    <col width="38.75" customWidth="1" style="58" min="1" max="1"/>
  </cols>
  <sheetData>
    <row r="1">
      <c r="A1" s="1" t="inlineStr">
        <is>
          <t>Target Data Center Input</t>
        </is>
      </c>
      <c r="B1" s="1" t="inlineStr">
        <is>
          <t>Value</t>
        </is>
      </c>
      <c r="C1" s="9" t="n"/>
    </row>
    <row r="2">
      <c r="A2" s="14" t="inlineStr">
        <is>
          <t>Data Center Size (MW)</t>
        </is>
      </c>
      <c r="B2" s="14" t="n">
        <v>20</v>
      </c>
      <c r="C2" s="9" t="n"/>
    </row>
    <row r="3">
      <c r="A3" s="14" t="inlineStr">
        <is>
          <t>Baseline PUE (Ratio)</t>
        </is>
      </c>
      <c r="B3" s="14" t="n">
        <v>1.58</v>
      </c>
      <c r="C3" s="9" t="n"/>
    </row>
    <row r="4">
      <c r="A4" s="14" t="inlineStr">
        <is>
          <t>Total Electricity Usage (MW)</t>
        </is>
      </c>
      <c r="B4" s="14">
        <f>B2*B3</f>
        <v/>
      </c>
      <c r="C4" s="9" t="n"/>
    </row>
    <row r="5">
      <c r="A5" s="14" t="inlineStr">
        <is>
          <t>Electricity Price ($/kWh)</t>
        </is>
      </c>
      <c r="B5" s="14" t="n">
        <v>0.26</v>
      </c>
      <c r="C5" s="9" t="n"/>
    </row>
    <row r="6">
      <c r="A6" s="14" t="inlineStr">
        <is>
          <t>Annual IT Load Growth Rate (%)</t>
        </is>
      </c>
      <c r="B6" s="6" t="n">
        <v>0.15</v>
      </c>
      <c r="C6" s="9" t="n"/>
    </row>
    <row r="7">
      <c r="A7" s="15" t="inlineStr">
        <is>
          <t>Annual Site Water Usage (L)</t>
        </is>
      </c>
      <c r="B7" s="15" t="n">
        <v>50</v>
      </c>
      <c r="C7" s="9" t="n"/>
    </row>
    <row r="8">
      <c r="A8" s="15" t="inlineStr">
        <is>
          <t>Water Cost per Liter ($)</t>
        </is>
      </c>
      <c r="B8" s="15" t="n">
        <v>0.001</v>
      </c>
      <c r="C8" s="9" t="n"/>
    </row>
    <row r="9">
      <c r="A9" s="14" t="inlineStr">
        <is>
          <t>Energy % of Operational Expenditure (OPEX) (%)</t>
        </is>
      </c>
      <c r="B9" s="6" t="n">
        <v>0.4</v>
      </c>
      <c r="C9" s="9" t="n"/>
    </row>
    <row r="10">
      <c r="A10" s="9" t="n"/>
      <c r="B10" s="10" t="n"/>
      <c r="C10" s="9" t="n"/>
    </row>
    <row r="11">
      <c r="A11" s="11" t="inlineStr">
        <is>
          <t>Vigilent Parameters Input</t>
        </is>
      </c>
      <c r="B11" s="11" t="inlineStr">
        <is>
          <t>Value</t>
        </is>
      </c>
      <c r="C11" s="9" t="n"/>
    </row>
    <row r="12">
      <c r="A12" s="14" t="inlineStr">
        <is>
          <t>Number of Years (int)</t>
        </is>
      </c>
      <c r="B12" s="14" t="n">
        <v>1</v>
      </c>
      <c r="C12" s="9" t="n"/>
    </row>
    <row r="13">
      <c r="A13" s="14" t="inlineStr">
        <is>
          <t>Vigilent Investment Cost ($)</t>
        </is>
      </c>
      <c r="B13" s="14" t="n">
        <v>10000</v>
      </c>
      <c r="C13" s="9" t="n"/>
    </row>
    <row r="14">
      <c r="A14" s="14" t="inlineStr">
        <is>
          <t>Estimated Energy Reduction w/ Vigilent (%)</t>
        </is>
      </c>
      <c r="B14" s="12" t="n">
        <v>0.075</v>
      </c>
      <c r="C14" s="9" t="n"/>
    </row>
    <row r="15">
      <c r="A15" s="14" t="inlineStr">
        <is>
          <t>Estimated Water Reduction w/ Vigilent (%)</t>
        </is>
      </c>
      <c r="B15" s="12" t="n">
        <v>0.075</v>
      </c>
      <c r="C15" s="9" t="n"/>
    </row>
    <row r="16">
      <c r="A16" s="9" t="n"/>
      <c r="B16" s="9" t="n"/>
      <c r="C16" s="9" t="n"/>
    </row>
    <row r="17">
      <c r="A17" s="13" t="inlineStr">
        <is>
          <t>Output:</t>
        </is>
      </c>
      <c r="B17" s="13" t="inlineStr">
        <is>
          <t>Value</t>
        </is>
      </c>
      <c r="C17" s="13" t="inlineStr">
        <is>
          <t>Percentage</t>
        </is>
      </c>
    </row>
    <row r="18">
      <c r="A18" s="14" t="inlineStr">
        <is>
          <t>Annual energy consumption (kWh)</t>
        </is>
      </c>
      <c r="B18" s="14">
        <f>B4*(1+B6)^B12*8760</f>
        <v/>
      </c>
      <c r="C18" s="15" t="n"/>
    </row>
    <row r="19">
      <c r="A19" s="14" t="inlineStr">
        <is>
          <t>Annual energy cost ($)</t>
        </is>
      </c>
      <c r="B19" s="14">
        <f>B4*(1+B6)^B12*8760*1000*B5</f>
        <v/>
      </c>
      <c r="C19" s="15" t="n"/>
    </row>
    <row r="20">
      <c r="A20" s="14" t="inlineStr">
        <is>
          <t>Projected cost growth under load expansion ($) (%)</t>
        </is>
      </c>
      <c r="B20" s="14">
        <f>B4*(1+B6)^B12*8760*1000*B5-(B4*8760*1000*B5)</f>
        <v/>
      </c>
      <c r="C20" s="14">
        <f>B20/B19</f>
        <v/>
      </c>
    </row>
    <row r="21">
      <c r="A21" s="14" t="inlineStr">
        <is>
          <t>Estimated savings w/ energy reduction ($) (%)</t>
        </is>
      </c>
      <c r="B21" s="14">
        <f>B4*(1+B6)^B12*B14*8760*1000*B5</f>
        <v/>
      </c>
      <c r="C21" s="14">
        <f>B21/B19</f>
        <v/>
      </c>
    </row>
    <row r="22">
      <c r="A22" s="14" t="inlineStr">
        <is>
          <t>% impact on total operating costs (%)</t>
        </is>
      </c>
      <c r="B22" s="14">
        <f>B21/(B19/B9)</f>
        <v/>
      </c>
      <c r="C2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2026-04-07T23:43:44Z</dcterms:created>
  <dcterms:modified xmlns:dcterms="http://purl.org/dc/terms/" xmlns:xsi="http://www.w3.org/2001/XMLSchema-instance" xsi:type="dcterms:W3CDTF">2026-04-27T08:03:42Z</dcterms:modified>
</cp:coreProperties>
</file>